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apital Stack" sheetId="2" state="visible" r:id="rId4"/>
    <sheet name="Farmer Legacy" sheetId="3" state="visible" r:id="rId5"/>
    <sheet name="P&amp;L — Conservative" sheetId="4" state="visible" r:id="rId6"/>
    <sheet name="P&amp;L — Moderate" sheetId="5" state="visible" r:id="rId7"/>
    <sheet name="P&amp;L — Optimistic" sheetId="6" state="visible" r:id="rId8"/>
    <sheet name="Dashboard" sheetId="7" state="visible" r:id="rId9"/>
    <sheet name="Sensitivity" sheetId="8" state="visible" r:id="rId10"/>
    <sheet name="Not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<sst xmlns="http://schemas.openxmlformats.org/spreadsheetml/2006/main" count="730" uniqueCount="527">
  <si>
    <t xml:space="preserve">SOVEREIGN MISFIT FARM — FINANCIAL MODEL</t>
  </si>
  <si>
    <t xml:space="preserve">Key Assumptions &amp; Inputs</t>
  </si>
  <si>
    <t xml:space="preserve">Assumption</t>
  </si>
  <si>
    <t xml:space="preserve">Conservative</t>
  </si>
  <si>
    <t xml:space="preserve">Moderate</t>
  </si>
  <si>
    <t xml:space="preserve">Optimistic</t>
  </si>
  <si>
    <t xml:space="preserve">Unit</t>
  </si>
  <si>
    <t xml:space="preserve">Notes</t>
  </si>
  <si>
    <t xml:space="preserve">LAND &amp; DEVELOPMENT</t>
  </si>
  <si>
    <t xml:space="preserve">Total Acreage</t>
  </si>
  <si>
    <t xml:space="preserve">acres</t>
  </si>
  <si>
    <t xml:space="preserve">Target property size</t>
  </si>
  <si>
    <t xml:space="preserve">Land Purchase Price</t>
  </si>
  <si>
    <t xml:space="preserve">$</t>
  </si>
  <si>
    <t xml:space="preserve">Rural land, varies by state</t>
  </si>
  <si>
    <t xml:space="preserve">Land Price per Acre</t>
  </si>
  <si>
    <t xml:space="preserve">$/acre</t>
  </si>
  <si>
    <t xml:space="preserve">Formula: total / acres</t>
  </si>
  <si>
    <t xml:space="preserve">Site Development Cost</t>
  </si>
  <si>
    <t xml:space="preserve">Roads, well, septic, electric run</t>
  </si>
  <si>
    <t xml:space="preserve">Community Hall Build Cost</t>
  </si>
  <si>
    <t xml:space="preserve">Hexagonal timber-frame, kitchen, bathrooms</t>
  </si>
  <si>
    <t xml:space="preserve">Infrastructure Total</t>
  </si>
  <si>
    <t xml:space="preserve">Land + site dev + hall</t>
  </si>
  <si>
    <t xml:space="preserve">Contingency Rate</t>
  </si>
  <si>
    <t xml:space="preserve">%</t>
  </si>
  <si>
    <t xml:space="preserve">% of infrastructure total</t>
  </si>
  <si>
    <t xml:space="preserve">Total Startup Capital Needed</t>
  </si>
  <si>
    <t xml:space="preserve">Infrastructure + contingency</t>
  </si>
  <si>
    <t xml:space="preserve">HOUSEHOLD &amp; GROUND LEASE</t>
  </si>
  <si>
    <t xml:space="preserve">Total Home Sites</t>
  </si>
  <si>
    <t xml:space="preserve">#</t>
  </si>
  <si>
    <t xml:space="preserve">Max households</t>
  </si>
  <si>
    <t xml:space="preserve">Avg Home Build Cost (by resident)</t>
  </si>
  <si>
    <t xml:space="preserve">Resident-funded; tiny/alt builds</t>
  </si>
  <si>
    <t xml:space="preserve">Monthly Ground Lease Fee (Year 1)</t>
  </si>
  <si>
    <t xml:space="preserve">$/mo</t>
  </si>
  <si>
    <t xml:space="preserve">Per household, covers land + shared services</t>
  </si>
  <si>
    <t xml:space="preserve">Annual Ground Lease Escalation</t>
  </si>
  <si>
    <t xml:space="preserve">Annual increase rate</t>
  </si>
  <si>
    <t xml:space="preserve">Year 1 Occupied Homes</t>
  </si>
  <si>
    <t xml:space="preserve">Initial move-ins</t>
  </si>
  <si>
    <t xml:space="preserve">Year 2 Occupied Homes</t>
  </si>
  <si>
    <t xml:space="preserve">Year 3 Occupied Homes</t>
  </si>
  <si>
    <t xml:space="preserve">Year 4+ Occupied Homes</t>
  </si>
  <si>
    <t xml:space="preserve">Stabilized occupancy</t>
  </si>
  <si>
    <t xml:space="preserve">Vacancy/Turnover Rate (stabilized)</t>
  </si>
  <si>
    <t xml:space="preserve">Expected ongoing vacancy</t>
  </si>
  <si>
    <t xml:space="preserve">AGRICULTURAL REVENUE</t>
  </si>
  <si>
    <t xml:space="preserve">CSA Shares - Year 1 Members</t>
  </si>
  <si>
    <t xml:space="preserve">Community Supported Agriculture</t>
  </si>
  <si>
    <t xml:space="preserve">CSA Shares - Stabilized Members</t>
  </si>
  <si>
    <t xml:space="preserve">Full subscription capacity</t>
  </si>
  <si>
    <t xml:space="preserve">CSA Share Price (annual)</t>
  </si>
  <si>
    <t xml:space="preserve">26-week season @ ~$25/week</t>
  </si>
  <si>
    <t xml:space="preserve">CSA Annual Price Increase</t>
  </si>
  <si>
    <t xml:space="preserve">Farm Stand Weekly Revenue (peak)</t>
  </si>
  <si>
    <t xml:space="preserve">$/wk</t>
  </si>
  <si>
    <t xml:space="preserve">20-week season</t>
  </si>
  <si>
    <t xml:space="preserve">Farm Stand Growth Rate</t>
  </si>
  <si>
    <t xml:space="preserve">Annual growth after Year 1</t>
  </si>
  <si>
    <t xml:space="preserve">Farm Stand Weeks per Year</t>
  </si>
  <si>
    <t xml:space="preserve">Seasonal</t>
  </si>
  <si>
    <t xml:space="preserve">Value-Added Products (Year 1)</t>
  </si>
  <si>
    <t xml:space="preserve">$/yr</t>
  </si>
  <si>
    <t xml:space="preserve">Honey, preserves, soap, herbal</t>
  </si>
  <si>
    <t xml:space="preserve">Value-Added Growth Rate</t>
  </si>
  <si>
    <t xml:space="preserve">Annual growth</t>
  </si>
  <si>
    <t xml:space="preserve">WORKSHOPS &amp; AGRITOURISM</t>
  </si>
  <si>
    <t xml:space="preserve">Workshops per Year (Year 1)</t>
  </si>
  <si>
    <t xml:space="preserve">Natural building, fermentation, etc.</t>
  </si>
  <si>
    <t xml:space="preserve">Workshops per Year (Stabilized)</t>
  </si>
  <si>
    <t xml:space="preserve">Avg Workshop Attendees</t>
  </si>
  <si>
    <t xml:space="preserve">Avg Workshop Ticket Price</t>
  </si>
  <si>
    <t xml:space="preserve">Workshop Price Annual Increase</t>
  </si>
  <si>
    <t xml:space="preserve">Farm Tour Revenue (Year 1)</t>
  </si>
  <si>
    <t xml:space="preserve">School groups, agritourism</t>
  </si>
  <si>
    <t xml:space="preserve">Farm Tour Growth Rate</t>
  </si>
  <si>
    <t xml:space="preserve">Community Kitchen Rental (Year 2+)</t>
  </si>
  <si>
    <t xml:space="preserve">Commercial kitchen in hall</t>
  </si>
  <si>
    <t xml:space="preserve">Kitchen Rental Months per Year</t>
  </si>
  <si>
    <t xml:space="preserve">OPERATING EXPENSES</t>
  </si>
  <si>
    <t xml:space="preserve">Property Tax (land, if not exempt)</t>
  </si>
  <si>
    <t xml:space="preserve">Depends on state CLT exemption</t>
  </si>
  <si>
    <t xml:space="preserve">Property Insurance</t>
  </si>
  <si>
    <t xml:space="preserve">Farm + liability coverage</t>
  </si>
  <si>
    <t xml:space="preserve">Utilities (shared/common areas)</t>
  </si>
  <si>
    <t xml:space="preserve">Solar offsets in optimistic</t>
  </si>
  <si>
    <t xml:space="preserve">Maintenance Reserve (% of revenue)</t>
  </si>
  <si>
    <t xml:space="preserve">Annual set-aside</t>
  </si>
  <si>
    <t xml:space="preserve">Farm Operating Costs (seed, feed, etc.)</t>
  </si>
  <si>
    <t xml:space="preserve">Year 1; grows with production</t>
  </si>
  <si>
    <t xml:space="preserve">Farm Cost Growth Rate</t>
  </si>
  <si>
    <t xml:space="preserve">Annual increase</t>
  </si>
  <si>
    <t xml:space="preserve">Admin/Legal/Accounting</t>
  </si>
  <si>
    <t xml:space="preserve">CPA, legal retainer, filing</t>
  </si>
  <si>
    <t xml:space="preserve">Marketing &amp; Outreach</t>
  </si>
  <si>
    <t xml:space="preserve">Website, social, events</t>
  </si>
  <si>
    <t xml:space="preserve">Community Coordinator (part-time Y1-2)</t>
  </si>
  <si>
    <t xml:space="preserve">Optional paid coordinator</t>
  </si>
  <si>
    <t xml:space="preserve">Community Coordinator (Y3+)</t>
  </si>
  <si>
    <t xml:space="preserve">Growing into stipend/salary</t>
  </si>
  <si>
    <t xml:space="preserve">Expense Inflation Rate</t>
  </si>
  <si>
    <t xml:space="preserve">General annual cost increase</t>
  </si>
  <si>
    <t xml:space="preserve">PHASED FUNDING &amp; CAPITAL STACK</t>
  </si>
  <si>
    <t xml:space="preserve">PHASE 1: Land &amp; Minimal Site Prep</t>
  </si>
  <si>
    <t xml:space="preserve">Per household, refundable on exit</t>
  </si>
  <si>
    <t xml:space="preserve">  Land Purchase</t>
  </si>
  <si>
    <t xml:space="preserve">Raw land only</t>
  </si>
  <si>
    <t xml:space="preserve">  Essential Site Work (well, road, electric)</t>
  </si>
  <si>
    <t xml:space="preserve">Minimal viable infrastructure</t>
  </si>
  <si>
    <t xml:space="preserve">  Legal/Filing/Closing Costs</t>
  </si>
  <si>
    <t xml:space="preserve">CLT formation + land closing</t>
  </si>
  <si>
    <t xml:space="preserve">  Phase 1 Subtotal</t>
  </si>
  <si>
    <t xml:space="preserve">From CDFI or mission-aligned lender</t>
  </si>
  <si>
    <t xml:space="preserve">PHASE 2: Community Hall &amp; Farm (Year 2-3)</t>
  </si>
  <si>
    <t xml:space="preserve">CDFI rates typically 3.5-6%</t>
  </si>
  <si>
    <t xml:space="preserve">  Community Hall Construction</t>
  </si>
  <si>
    <t xml:space="preserve">Funded from Y1 revenue + grants</t>
  </si>
  <si>
    <t xml:space="preserve">  Farm Infrastructure (irrigation, fencing)</t>
  </si>
  <si>
    <t xml:space="preserve">Partially EQIP-eligible</t>
  </si>
  <si>
    <t xml:space="preserve">  Phase 2 Subtotal</t>
  </si>
  <si>
    <t xml:space="preserve">  Total All-Phase Capital Need</t>
  </si>
  <si>
    <t xml:space="preserve">CAPITAL STACK — FUNDING SOURCES</t>
  </si>
  <si>
    <t xml:space="preserve">  CDFI Loan (land acquisition)</t>
  </si>
  <si>
    <t xml:space="preserve">RSF, Reinvestment Fund, NCB; 3-5%</t>
  </si>
  <si>
    <t xml:space="preserve">  CDFI Interest Rate</t>
  </si>
  <si>
    <t xml:space="preserve">Below-market mission-aligned</t>
  </si>
  <si>
    <t xml:space="preserve">  CDFI Loan Term (years)</t>
  </si>
  <si>
    <t xml:space="preserve">years</t>
  </si>
  <si>
    <t xml:space="preserve">  Annual CDFI Debt Service</t>
  </si>
  <si>
    <t xml:space="preserve">  Conservation Easement Sale</t>
  </si>
  <si>
    <t xml:space="preserve">Sell ag easement @ $2K-$3K/acre</t>
  </si>
  <si>
    <t xml:space="preserve">  State Housing Trust Fund (forgivable)</t>
  </si>
  <si>
    <t xml:space="preserve">Forgivable if affordable 30+ yrs</t>
  </si>
  <si>
    <t xml:space="preserve">  USDA EQIP Grants</t>
  </si>
  <si>
    <t xml:space="preserve">Conservation practice payments</t>
  </si>
  <si>
    <t xml:space="preserve">  USDA Rural Dev / Community Facilities</t>
  </si>
  <si>
    <t xml:space="preserve">For community hall (Phase 2)</t>
  </si>
  <si>
    <t xml:space="preserve">  Founding Member Equity Deposits</t>
  </si>
  <si>
    <t xml:space="preserve">    Per-Household Deposit</t>
  </si>
  <si>
    <t xml:space="preserve">Refundable on exit</t>
  </si>
  <si>
    <t xml:space="preserve">    Founding Households</t>
  </si>
  <si>
    <t xml:space="preserve">  Community Investment Notes</t>
  </si>
  <si>
    <t xml:space="preserve">Impact investors @ 3-5% fixed</t>
  </si>
  <si>
    <t xml:space="preserve">  Crowdfunding / Donations</t>
  </si>
  <si>
    <t xml:space="preserve">GoFundMe, community campaign</t>
  </si>
  <si>
    <t xml:space="preserve">  Total Funding Available</t>
  </si>
  <si>
    <t xml:space="preserve">  Phase 1 Gap / Surplus</t>
  </si>
  <si>
    <t xml:space="preserve">Positive = Phase 1 funded</t>
  </si>
  <si>
    <t xml:space="preserve">  Total Project Gap / Surplus</t>
  </si>
  <si>
    <t xml:space="preserve">Positive = fully funded</t>
  </si>
  <si>
    <t xml:space="preserve">TOTAL ANNUAL DEBT SERVICE</t>
  </si>
  <si>
    <t xml:space="preserve">  CDFI Loan Payment</t>
  </si>
  <si>
    <t xml:space="preserve">  Community Investment Note Interest</t>
  </si>
  <si>
    <t xml:space="preserve">4% annual interest payment</t>
  </si>
  <si>
    <t xml:space="preserve">  Total Annual Debt Service</t>
  </si>
  <si>
    <t xml:space="preserve">SOVEREIGN MISFIT FARM — CAPITAL STACK</t>
  </si>
  <si>
    <t xml:space="preserve">Layered Funding Strategy by Source and Phase</t>
  </si>
  <si>
    <t xml:space="preserve">Funding Source</t>
  </si>
  <si>
    <t xml:space="preserve">Type</t>
  </si>
  <si>
    <t xml:space="preserve">Terms &amp; Notes</t>
  </si>
  <si>
    <t xml:space="preserve">DEBT INSTRUMENTS</t>
  </si>
  <si>
    <t xml:space="preserve">CDFI Land Acquisition Loan</t>
  </si>
  <si>
    <t xml:space="preserve">Senior Debt</t>
  </si>
  <si>
    <t xml:space="preserve">20-30yr term, 3.5-5.5% fixed, secured by land</t>
  </si>
  <si>
    <t xml:space="preserve">  Annual Payment</t>
  </si>
  <si>
    <t xml:space="preserve">PMT calculation</t>
  </si>
  <si>
    <t xml:space="preserve">Community Investment Notes</t>
  </si>
  <si>
    <t xml:space="preserve">Mezzanine</t>
  </si>
  <si>
    <t xml:space="preserve">3-5yr term, 4% fixed, unsecured; impact investors</t>
  </si>
  <si>
    <t xml:space="preserve">  Annual Interest</t>
  </si>
  <si>
    <t xml:space="preserve">Interest-only, balloon at maturity</t>
  </si>
  <si>
    <t xml:space="preserve">Total Debt</t>
  </si>
  <si>
    <t xml:space="preserve">GRANTS &amp; SUBSIDIES (NON-DILUTIVE)</t>
  </si>
  <si>
    <t xml:space="preserve">Conservation Easement Sale</t>
  </si>
  <si>
    <t xml:space="preserve">Asset Sale</t>
  </si>
  <si>
    <t xml:space="preserve">Sell ag easement to state/land trust; $2-3K/acre</t>
  </si>
  <si>
    <t xml:space="preserve">State Housing Trust Fund</t>
  </si>
  <si>
    <t xml:space="preserve">Forgivable</t>
  </si>
  <si>
    <t xml:space="preserve">Converts to grant if affordable 30+ yrs</t>
  </si>
  <si>
    <t xml:space="preserve">USDA EQIP Grants</t>
  </si>
  <si>
    <t xml:space="preserve">Grant</t>
  </si>
  <si>
    <t xml:space="preserve">Conservation practices: fencing, cover crops, water</t>
  </si>
  <si>
    <t xml:space="preserve">USDA Rural Development</t>
  </si>
  <si>
    <t xml:space="preserve">Community Facilities program for hall</t>
  </si>
  <si>
    <t xml:space="preserve">Total Grants &amp; Subsidies</t>
  </si>
  <si>
    <t xml:space="preserve">COMMUNITY EQUITY &amp; CONTRIBUTIONS</t>
  </si>
  <si>
    <t xml:space="preserve">Founding Member Deposits</t>
  </si>
  <si>
    <t xml:space="preserve">Equity</t>
  </si>
  <si>
    <t xml:space="preserve">Refundable on exit per ground lease</t>
  </si>
  <si>
    <t xml:space="preserve">Crowdfunding &amp; Donations</t>
  </si>
  <si>
    <t xml:space="preserve">Donation</t>
  </si>
  <si>
    <t xml:space="preserve">Tax-deductible to 501(c)(3)</t>
  </si>
  <si>
    <t xml:space="preserve">Total Community Equity</t>
  </si>
  <si>
    <t xml:space="preserve">TOTAL CAPITAL STACK</t>
  </si>
  <si>
    <t xml:space="preserve">Total Funding Available</t>
  </si>
  <si>
    <t xml:space="preserve">All sources</t>
  </si>
  <si>
    <t xml:space="preserve">Total Capital Required</t>
  </si>
  <si>
    <t xml:space="preserve">All phases</t>
  </si>
  <si>
    <t xml:space="preserve">Net Position (Surplus / Gap)</t>
  </si>
  <si>
    <t xml:space="preserve">Must be positive</t>
  </si>
  <si>
    <t xml:space="preserve">FUNDING MIX (% of Total)</t>
  </si>
  <si>
    <t xml:space="preserve">Debt %</t>
  </si>
  <si>
    <t xml:space="preserve">Grants &amp; Subsidies %</t>
  </si>
  <si>
    <t xml:space="preserve">Community Equity %</t>
  </si>
  <si>
    <t xml:space="preserve">SAFETY METRICS</t>
  </si>
  <si>
    <t xml:space="preserve">Max Single Source as % of Total</t>
  </si>
  <si>
    <t xml:space="preserve">Target: &lt;70% from any single source</t>
  </si>
  <si>
    <t xml:space="preserve">Debt-to-Total Capital Ratio</t>
  </si>
  <si>
    <t xml:space="preserve">Target: &lt;60% for lender comfort</t>
  </si>
  <si>
    <t xml:space="preserve">Annual Debt Service</t>
  </si>
  <si>
    <t xml:space="preserve">Lower = safer; reduced by grant layer</t>
  </si>
  <si>
    <t xml:space="preserve">Grant Funding as % of Total</t>
  </si>
  <si>
    <t xml:space="preserve">Higher = less debt burden</t>
  </si>
  <si>
    <t xml:space="preserve">FARMER LEGACY PIPELINE</t>
  </si>
  <si>
    <t xml:space="preserve">Improved Farmland vs. Raw Land — Side-by-Side Comparison</t>
  </si>
  <si>
    <t xml:space="preserve">Cost Category</t>
  </si>
  <si>
    <t xml:space="preserve">Raw Land (Base Model)</t>
  </si>
  <si>
    <t xml:space="preserve">Improved Farmland</t>
  </si>
  <si>
    <t xml:space="preserve">Savings / Difference</t>
  </si>
  <si>
    <t xml:space="preserve">LAND ACQUISITION</t>
  </si>
  <si>
    <t xml:space="preserve">Acreage</t>
  </si>
  <si>
    <t xml:space="preserve">Same target size</t>
  </si>
  <si>
    <t xml:space="preserve">Price per Acre</t>
  </si>
  <si>
    <t xml:space="preserve">Improved land costs more per acre</t>
  </si>
  <si>
    <t xml:space="preserve">EXISTING INFRASTRUCTURE (included in improved price)</t>
  </si>
  <si>
    <t xml:space="preserve">Well (already drilled)</t>
  </si>
  <si>
    <t xml:space="preserve">Existing well saves $10-15K</t>
  </si>
  <si>
    <t xml:space="preserve">Road access (already graded)</t>
  </si>
  <si>
    <t xml:space="preserve">Farm roads already in place</t>
  </si>
  <si>
    <t xml:space="preserve">Electrical service (already run)</t>
  </si>
  <si>
    <t xml:space="preserve">Power already on-site</t>
  </si>
  <si>
    <t xml:space="preserve">Perimeter fencing (already built)</t>
  </si>
  <si>
    <t xml:space="preserve">Existing post-and-rail or wire</t>
  </si>
  <si>
    <t xml:space="preserve">First septic system</t>
  </si>
  <si>
    <t xml:space="preserve">Farmhouse septic already exists</t>
  </si>
  <si>
    <t xml:space="preserve">Barn/outbuilding (repurpose as temp hall)</t>
  </si>
  <si>
    <t xml:space="preserve">Existing barn = Phase 1 gathering space</t>
  </si>
  <si>
    <t xml:space="preserve">Established soil/pasture/orchards</t>
  </si>
  <si>
    <t xml:space="preserve">Years of soil building — priceless</t>
  </si>
  <si>
    <t xml:space="preserve">Total Infrastructure Savings</t>
  </si>
  <si>
    <t xml:space="preserve">What you DON'T have to build</t>
  </si>
  <si>
    <t xml:space="preserve">CLT Formation &amp; Closing</t>
  </si>
  <si>
    <t xml:space="preserve">Same either way</t>
  </si>
  <si>
    <t xml:space="preserve">PHASE 1 TOTAL</t>
  </si>
  <si>
    <t xml:space="preserve">Land + infrastructure + legal</t>
  </si>
  <si>
    <t xml:space="preserve">Phase 1 Savings vs Raw Land</t>
  </si>
  <si>
    <t xml:space="preserve">Positive = improved land is cheaper overall</t>
  </si>
  <si>
    <t xml:space="preserve">PHASE 2: Community Hall &amp; Farm Infra</t>
  </si>
  <si>
    <t xml:space="preserve">Community hall (new build vs barn retrofit)</t>
  </si>
  <si>
    <t xml:space="preserve">Retrofitting existing barn saves $100K+</t>
  </si>
  <si>
    <t xml:space="preserve">Farm infrastructure (irrigation, add'l fencing)</t>
  </si>
  <si>
    <t xml:space="preserve">Much already exists</t>
  </si>
  <si>
    <t xml:space="preserve">Phase 2 Total</t>
  </si>
  <si>
    <t xml:space="preserve">TOTAL PROJECT COST (All Phases)</t>
  </si>
  <si>
    <t xml:space="preserve">Total Savings from Improved Farmland</t>
  </si>
  <si>
    <t xml:space="preserve">Positive = net savings</t>
  </si>
  <si>
    <t xml:space="preserve">Savings as % of Raw Land Cost</t>
  </si>
  <si>
    <t xml:space="preserve">ACQUISITION STRUCTURES FOR RETIRING FARMERS</t>
  </si>
  <si>
    <t xml:space="preserve">Structure</t>
  </si>
  <si>
    <t xml:space="preserve">How It Works</t>
  </si>
  <si>
    <t xml:space="preserve">Cost to CLT</t>
  </si>
  <si>
    <t xml:space="preserve">Benefit to Farmer</t>
  </si>
  <si>
    <t xml:space="preserve">Best When</t>
  </si>
  <si>
    <t xml:space="preserve">Straight Sale at Market Value</t>
  </si>
  <si>
    <t xml:space="preserve">CLT purchases at full appraised value</t>
  </si>
  <si>
    <t xml:space="preserve">Full cash at closing</t>
  </si>
  <si>
    <t xml:space="preserve">Farmer needs max proceeds; CLT has strong capital stack</t>
  </si>
  <si>
    <t xml:space="preserve">Bargain Sale (below market)</t>
  </si>
  <si>
    <t xml:space="preserve">Farmer sells 20-40% below market; difference is tax-deductible donation to 501(c)(3)</t>
  </si>
  <si>
    <t xml:space="preserve">Cash + charitable deduction worth 30% of market value</t>
  </si>
  <si>
    <t xml:space="preserve">Farmer has tax liability to offset; cares about legacy</t>
  </si>
  <si>
    <t xml:space="preserve">Donation (full gift)</t>
  </si>
  <si>
    <t xml:space="preserve">Farmer donates land to CLT; takes full charitable deduction</t>
  </si>
  <si>
    <t xml:space="preserve">Charitable deduction of full appraised value (up to 30% of AGI, 15-yr carryforward)</t>
  </si>
  <si>
    <t xml:space="preserve">High-net-worth farmer; strong legacy motivation; estate planning</t>
  </si>
  <si>
    <t xml:space="preserve">Life Estate</t>
  </si>
  <si>
    <t xml:space="preserve">CLT buys land but farmer retains right to live on a portion until death</t>
  </si>
  <si>
    <t xml:space="preserve">Below-market cash + lifetime housing security</t>
  </si>
  <si>
    <t xml:space="preserve">Farmer wants to age in place; CLT gets discount for delayed full access</t>
  </si>
  <si>
    <t xml:space="preserve">Installment Sale</t>
  </si>
  <si>
    <t xml:space="preserve">Farmer sells to CLT with seller financing over 5-15 years</t>
  </si>
  <si>
    <t xml:space="preserve">Steady income stream; spreads tax liability across years</t>
  </si>
  <si>
    <t xml:space="preserve">Farmer wants retirement income; CLT needs time to build capital</t>
  </si>
  <si>
    <t xml:space="preserve">Lease-to-Own</t>
  </si>
  <si>
    <t xml:space="preserve">CLT leases land for 3-5 years with purchase option; lease payments credited toward price</t>
  </si>
  <si>
    <t xml:space="preserve">Annual lease: $15K-$25K</t>
  </si>
  <si>
    <t xml:space="preserve">Immediate income; time to consider</t>
  </si>
  <si>
    <t xml:space="preserve">Both parties want a trial period; CLT is still raising capital</t>
  </si>
  <si>
    <t xml:space="preserve">FARMER LEGACY PIPELINE — KEY NETWORK CONTACTS</t>
  </si>
  <si>
    <t xml:space="preserve">Organization Type</t>
  </si>
  <si>
    <t xml:space="preserve">What They Do</t>
  </si>
  <si>
    <t xml:space="preserve">Why They Matter</t>
  </si>
  <si>
    <t xml:space="preserve">How to Connect</t>
  </si>
  <si>
    <t xml:space="preserve">USDA Cooperative Extension</t>
  </si>
  <si>
    <t xml:space="preserve">County-level farm education and support</t>
  </si>
  <si>
    <t xml:space="preserve">Know every aging farmer in their district; already having succession conversations</t>
  </si>
  <si>
    <t xml:space="preserve">Visit local extension office; attend farm field days</t>
  </si>
  <si>
    <t xml:space="preserve">State Farmland Preservation Program</t>
  </si>
  <si>
    <t xml:space="preserve">Buy conservation easements; preserve ag land</t>
  </si>
  <si>
    <t xml:space="preserve">Have database of farms with easements; know which farmers are approaching retirement</t>
  </si>
  <si>
    <t xml:space="preserve">Contact state dept of agriculture; attend board meetings</t>
  </si>
  <si>
    <t xml:space="preserve">Farm Link Programs (~30 states)</t>
  </si>
  <si>
    <t xml:space="preserve">Connect retiring farmers with beginning farmers</t>
  </si>
  <si>
    <t xml:space="preserve">Their entire mission is succession; they'll understand your model immediately</t>
  </si>
  <si>
    <t xml:space="preserve">farmlink.net directory; state beginning farmer coalitions</t>
  </si>
  <si>
    <t xml:space="preserve">American Farmland Trust (AFT)</t>
  </si>
  <si>
    <t xml:space="preserve">National farmland conservation; No Farms No Food campaign</t>
  </si>
  <si>
    <t xml:space="preserve">Research, policy advocacy, Farmland Finder tool; credibility by association</t>
  </si>
  <si>
    <t xml:space="preserve">farmland.org; regional offices; annual summit</t>
  </si>
  <si>
    <t xml:space="preserve">Land For Good (New England)</t>
  </si>
  <si>
    <t xml:space="preserve">Farm succession planning specialists</t>
  </si>
  <si>
    <t xml:space="preserve">Deep expertise in farm transfer structures; legal and financial guidance</t>
  </si>
  <si>
    <t xml:space="preserve">landforgood.org; attend Farm Transfer workshops</t>
  </si>
  <si>
    <t xml:space="preserve">Local / State Land Trusts</t>
  </si>
  <si>
    <t xml:space="preserve">Hold conservation easements; protect open space</t>
  </si>
  <si>
    <t xml:space="preserve">Already have relationships with farmland owners; understand easement valuations</t>
  </si>
  <si>
    <t xml:space="preserve">Find via Land Trust Alliance (lta.org); attend local chapter meetings</t>
  </si>
  <si>
    <t xml:space="preserve">USDA Farm Service Agency (FSA)</t>
  </si>
  <si>
    <t xml:space="preserve">Federal farm programs, loans, disaster relief</t>
  </si>
  <si>
    <t xml:space="preserve">County offices know farm finances; can refer farmers considering transition</t>
  </si>
  <si>
    <t xml:space="preserve">Visit county FSA office; ask about Transition Incentives Program</t>
  </si>
  <si>
    <t xml:space="preserve">Estate Planning Attorneys (ag-focused)</t>
  </si>
  <si>
    <t xml:space="preserve">Advise farmers on succession, trusts, tax strategy</t>
  </si>
  <si>
    <t xml:space="preserve">Having 'what happens to the farm' conversations weekly; warm referral source</t>
  </si>
  <si>
    <t xml:space="preserve">State bar association ag law section; farm bureau legal networks</t>
  </si>
  <si>
    <t xml:space="preserve">Beginning Farmer Conferences</t>
  </si>
  <si>
    <t xml:space="preserve">Annual gatherings of new/aspiring farmers</t>
  </si>
  <si>
    <t xml:space="preserve">Networking hub; your pitch reaches both future households AND retiring farmers</t>
  </si>
  <si>
    <t xml:space="preserve">NESAWG, MOSES, state-specific conferences</t>
  </si>
  <si>
    <t xml:space="preserve">Grounded Solutions Network</t>
  </si>
  <si>
    <t xml:space="preserve">National CLT technical assistance</t>
  </si>
  <si>
    <t xml:space="preserve">CLT-specific legal templates, funding connections, peer network</t>
  </si>
  <si>
    <t xml:space="preserve">grounded.org; request technical assistance; join member network</t>
  </si>
  <si>
    <t xml:space="preserve">USDA TRANSITION INCENTIVES PROGRAM (TIP)</t>
  </si>
  <si>
    <t xml:space="preserve">What is TIP?</t>
  </si>
  <si>
    <t xml:space="preserve">Pays retiring farmers up to 2 additional years of CRP/ACEP payments if they sell/rent to beginning or socially disadvantaged farmers</t>
  </si>
  <si>
    <t xml:space="preserve">Eligibility</t>
  </si>
  <si>
    <t xml:space="preserve">Farmer must have an expiring CRP contract or ACEP easement; buyer must qualify as 'beginning farmer' (&lt; 10 years experience)</t>
  </si>
  <si>
    <t xml:space="preserve">Payment Amount</t>
  </si>
  <si>
    <t xml:space="preserve">Up to 2 years of the existing annual rental/easement payment — can be $5K-$50K+ depending on contract</t>
  </si>
  <si>
    <t xml:space="preserve">Why it matters for SMF</t>
  </si>
  <si>
    <t xml:space="preserve">Gives retiring farmers a financial incentive to sell to YOUR CLT specifically (if a CLT member qualifies as beginning farmer)</t>
  </si>
  <si>
    <t xml:space="preserve">How to access</t>
  </si>
  <si>
    <t xml:space="preserve">Contact county FSA office; farmer must initiate before their contract expires; CLT should be formed before application</t>
  </si>
  <si>
    <t xml:space="preserve">SOVEREIGN MISFIT FARM — CONSERVATIVE SCENARIO</t>
  </si>
  <si>
    <t xml:space="preserve">10-Year Profit &amp; Loss Projection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</si>
  <si>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</si>
  <si>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</si>
  <si>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</si>
  <si>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</si>
  <si>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</si>
  <si>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</si>
  <si>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</si>
  <si>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</si>
  <si>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</si>
  <si>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</si>
  <si>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10-Yr Total</t>
  </si>
  <si>
    <t xml:space="preserve">REVENUE</t>
  </si>
  <si>
    <t xml:space="preserve">Ground Lease Revenue</t>
  </si>
  <si>
    <t xml:space="preserve">CSA Subscriptions</t>
  </si>
  <si>
    <t xml:space="preserve">Farm Stand Sales</t>
  </si>
  <si>
    <t xml:space="preserve">Value-Added Products</t>
  </si>
  <si>
    <t xml:space="preserve">Workshops &amp; Classes</t>
  </si>
  <si>
    <t xml:space="preserve">Farm Tours &amp; Agritourism</t>
  </si>
  <si>
    <t xml:space="preserve">Community Kitchen Rental</t>
  </si>
  <si>
    <t xml:space="preserve">TOTAL REVENUE</t>
  </si>
  <si>
    <t xml:space="preserve">Property Tax</t>
  </si>
  <si>
    <t xml:space="preserve">Utilities (Common Areas)</t>
  </si>
  <si>
    <t xml:space="preserve">Farm Operating Costs</t>
  </si>
  <si>
    <t xml:space="preserve">Admin / Legal / Accounting</t>
  </si>
  <si>
    <t xml:space="preserve">Community Coordinator</t>
  </si>
  <si>
    <t xml:space="preserve">Maintenance Reserve</t>
  </si>
  <si>
    <t xml:space="preserve">TOTAL OPERATING EXPENSES</t>
  </si>
  <si>
    <t xml:space="preserve">OPERATING INCOME (EBITDA)</t>
  </si>
  <si>
    <t xml:space="preserve">Operating Margin</t>
  </si>
  <si>
    <t xml:space="preserve">DEBT SERVICE</t>
  </si>
  <si>
    <t xml:space="preserve">Annual Loan Payment</t>
  </si>
  <si>
    <t xml:space="preserve">NET INCOME (after debt service)</t>
  </si>
  <si>
    <t xml:space="preserve">Net Margin</t>
  </si>
  <si>
    <t xml:space="preserve">CASH FLOW &amp; RESERVES</t>
  </si>
  <si>
    <t xml:space="preserve">Beginning Cash Balance</t>
  </si>
  <si>
    <t xml:space="preserve">Net Cash Flow (this year)</t>
  </si>
  <si>
    <t xml:space="preserve">Ending Cash Balance</t>
  </si>
  <si>
    <t xml:space="preserve">Debt Service Coverage Ratio</t>
  </si>
  <si>
    <t xml:space="preserve">  Target: &gt;1.25x for lender comfort</t>
  </si>
  <si>
    <t xml:space="preserve">REVENUE MIX (Year 5)</t>
  </si>
  <si>
    <t xml:space="preserve">Ground Lease %</t>
  </si>
  <si>
    <t xml:space="preserve">CSA %</t>
  </si>
  <si>
    <t xml:space="preserve">Farm Stand %</t>
  </si>
  <si>
    <t xml:space="preserve">Value-Added %</t>
  </si>
  <si>
    <t xml:space="preserve">Workshops %</t>
  </si>
  <si>
    <t xml:space="preserve">Tours %</t>
  </si>
  <si>
    <t xml:space="preserve">Kitchen Rental %</t>
  </si>
  <si>
    <t xml:space="preserve">SOVEREIGN MISFIT FARM — MODERATE SCENARIO</t>
  </si>
  <si>
    <t xml:space="preserve">SOVEREIGN MISFIT FARM — OPTIMISTIC SCENARIO</t>
  </si>
  <si>
    <t xml:space="preserve">SOVEREIGN MISFIT FARM — SCENARIO COMPARISON</t>
  </si>
  <si>
    <t xml:space="preserve">Key Metrics Dashboard</t>
  </si>
  <si>
    <t xml:space="preserve">Metric</t>
  </si>
  <si>
    <t xml:space="preserve">PHASED CAPITAL STRUCTURE</t>
  </si>
  <si>
    <t xml:space="preserve">Phase 1 Capital Need (Land + Site)</t>
  </si>
  <si>
    <t xml:space="preserve">Year 0-1</t>
  </si>
  <si>
    <t xml:space="preserve">Phase 2 Capital Need (Hall + Farm)</t>
  </si>
  <si>
    <t xml:space="preserve">Year 2-3</t>
  </si>
  <si>
    <t xml:space="preserve">Total Capital Need</t>
  </si>
  <si>
    <t xml:space="preserve">All sources stacked</t>
  </si>
  <si>
    <t xml:space="preserve">Phase 1 Surplus / Gap</t>
  </si>
  <si>
    <t xml:space="preserve">Critical: must be positive</t>
  </si>
  <si>
    <t xml:space="preserve">Total Project Surplus / Gap</t>
  </si>
  <si>
    <t xml:space="preserve">YEAR 1 PERFORMANCE</t>
  </si>
  <si>
    <t xml:space="preserve">Total Revenue</t>
  </si>
  <si>
    <t xml:space="preserve">Total Expenses</t>
  </si>
  <si>
    <t xml:space="preserve">Operating Income</t>
  </si>
  <si>
    <t xml:space="preserve">Net Income (after debt)</t>
  </si>
  <si>
    <t xml:space="preserve">DSCR</t>
  </si>
  <si>
    <t xml:space="preserve">YEAR 5 (STABILIZED)</t>
  </si>
  <si>
    <t xml:space="preserve">YEAR 10</t>
  </si>
  <si>
    <t xml:space="preserve">Net Income</t>
  </si>
  <si>
    <t xml:space="preserve">10-YEAR CUMULATIVE</t>
  </si>
  <si>
    <t xml:space="preserve">Total Revenue (10yr)</t>
  </si>
  <si>
    <t xml:space="preserve">Total Expenses (10yr)</t>
  </si>
  <si>
    <t xml:space="preserve">Total Debt Service (10yr)</t>
  </si>
  <si>
    <t xml:space="preserve">Cumulative Net Income</t>
  </si>
  <si>
    <t xml:space="preserve">KEY VIABILITY INDICATORS</t>
  </si>
  <si>
    <t xml:space="preserve">Breakeven Year</t>
  </si>
  <si>
    <t xml:space="preserve">Year when cumulative net income turns positive</t>
  </si>
  <si>
    <t xml:space="preserve">Monthly Cost per Household (Y5)</t>
  </si>
  <si>
    <t xml:space="preserve">Total annual expenses / occupied homes / 12</t>
  </si>
  <si>
    <t xml:space="preserve">Revenue per Acre (Y5)</t>
  </si>
  <si>
    <t xml:space="preserve">Ground Lease as % of Total Rev (Y5)</t>
  </si>
  <si>
    <t xml:space="preserve">Ag Revenue as % of Total Rev (Y5)</t>
  </si>
  <si>
    <t xml:space="preserve">SENSITIVITY ANALYSIS — KEY RISK FACTORS</t>
  </si>
  <si>
    <t xml:space="preserve">Risk Factor</t>
  </si>
  <si>
    <t xml:space="preserve">Impact on Y5 Net Income</t>
  </si>
  <si>
    <t xml:space="preserve">Probability</t>
  </si>
  <si>
    <t xml:space="preserve">Mitigation</t>
  </si>
  <si>
    <t xml:space="preserve">50% vacancy (6 of 12 homes empty)</t>
  </si>
  <si>
    <t xml:space="preserve">Severe — est. ($15K-$25K) loss</t>
  </si>
  <si>
    <t xml:space="preserve">Low</t>
  </si>
  <si>
    <t xml:space="preserve">Waitlist model, phased build, flexible lease terms</t>
  </si>
  <si>
    <t xml:space="preserve">Crop failure (weather/pest)</t>
  </si>
  <si>
    <t xml:space="preserve">Moderate — ($8K-$12K) CSA/farm loss</t>
  </si>
  <si>
    <t xml:space="preserve">Medium</t>
  </si>
  <si>
    <t xml:space="preserve">Crop insurance, diversified planting, season extension</t>
  </si>
  <si>
    <t xml:space="preserve">Interest rate increase (+2%)</t>
  </si>
  <si>
    <t xml:space="preserve">Moderate — ($4K-$8K) additional debt</t>
  </si>
  <si>
    <t xml:space="preserve">Lock fixed rate at closing, prepay when possible</t>
  </si>
  <si>
    <t xml:space="preserve">Key member departure</t>
  </si>
  <si>
    <t xml:space="preserve">Moderate — labor gap, social disruption</t>
  </si>
  <si>
    <t xml:space="preserve">Cross-training, documented SOPs, 90-day notice req</t>
  </si>
  <si>
    <t xml:space="preserve">Delayed construction (6 months)</t>
  </si>
  <si>
    <t xml:space="preserve">Low-Moderate — delayed revenue</t>
  </si>
  <si>
    <t xml:space="preserve">Phased approach, mobile/temporary structures first</t>
  </si>
  <si>
    <t xml:space="preserve">Regulatory/zoning challenge</t>
  </si>
  <si>
    <t xml:space="preserve">Severe — potential project halt</t>
  </si>
  <si>
    <t xml:space="preserve">Low-Medium</t>
  </si>
  <si>
    <t xml:space="preserve">Pre-approval, legal counsel, choose CLT-friendly state</t>
  </si>
  <si>
    <t xml:space="preserve">Property tax exemption denied</t>
  </si>
  <si>
    <t xml:space="preserve">Low — ($2K-$4K) additional cost</t>
  </si>
  <si>
    <t xml:space="preserve">Budget conservatively (included in conservative scenario)</t>
  </si>
  <si>
    <t xml:space="preserve">Economic recession</t>
  </si>
  <si>
    <t xml:space="preserve">Moderate — reduced workshop/tour revenue</t>
  </si>
  <si>
    <t xml:space="preserve">Ground lease provides stable base; ag is recession-resilient</t>
  </si>
  <si>
    <t xml:space="preserve">Insurance cost spike (+50%)</t>
  </si>
  <si>
    <t xml:space="preserve">Low — ($3K-$4K) additional cost</t>
  </si>
  <si>
    <t xml:space="preserve">Shop multiple carriers, increase deductibles, safety programs</t>
  </si>
  <si>
    <t xml:space="preserve">Community conflict/governance failure</t>
  </si>
  <si>
    <t xml:space="preserve">Severe — existential risk</t>
  </si>
  <si>
    <t xml:space="preserve">Clear bylaws, conflict resolution process, trained mediator</t>
  </si>
  <si>
    <t xml:space="preserve">MODEL NOTES &amp; METHODOLOGY</t>
  </si>
  <si>
    <t xml:space="preserve">GENERAL APPROACH</t>
  </si>
  <si>
    <t xml:space="preserve">This model projects 10-year financial performance for a 12-household community land trust (CLT)</t>
  </si>
  <si>
    <t xml:space="preserve">operating on approximately 50 acres with diversified agricultural and educational revenue streams.</t>
  </si>
  <si>
    <t xml:space="preserve">Three scenarios (Conservative, Moderate, Optimistic) bracket the range of likely outcomes.</t>
  </si>
  <si>
    <t xml:space="preserve">KEY ASSUMPTIONS</t>
  </si>
  <si>
    <t xml:space="preserve">• Land costs based on rural acreage in CLT-friendly states (VT, OR, NC, WA, CO)</t>
  </si>
  <si>
    <t xml:space="preserve">• Community hall cost assumes volunteer labor contribution of ~30% (barn-raising model)</t>
  </si>
  <si>
    <t xml:space="preserve">• Home construction costs are borne by individual households, NOT the trust</t>
  </si>
  <si>
    <t xml:space="preserve">• Ground lease fees are the primary stable revenue source; agricultural revenue supplements</t>
  </si>
  <si>
    <t xml:space="preserve">• CSA subscription ramp assumes 4-year build to full capacity through word-of-mouth</t>
  </si>
  <si>
    <t xml:space="preserve">• Workshop revenue assumes community expertise develops over first 3 years</t>
  </si>
  <si>
    <t xml:space="preserve">• All expenses include 3% annual inflation unless otherwise specified</t>
  </si>
  <si>
    <t xml:space="preserve">WHAT THIS MODEL DOES NOT INCLUDE</t>
  </si>
  <si>
    <t xml:space="preserve">• One-time member equity buy-ins after Year 1 (additional homes joining Y2-Y4)</t>
  </si>
  <si>
    <t xml:space="preserve">• Potential grant funding beyond Year 1 (USDA, state programs)</t>
  </si>
  <si>
    <t xml:space="preserve">• Volunteer labor value (significant but hard to quantify)</t>
  </si>
  <si>
    <t xml:space="preserve">• Individual household income from remote work, cottage industry, etc.</t>
  </si>
  <si>
    <t xml:space="preserve">• Property appreciation (CLT model intentionally limits this)</t>
  </si>
  <si>
    <t xml:space="preserve">• Tax benefits to the trust from 501(c)(3) status beyond property tax</t>
  </si>
  <si>
    <t xml:space="preserve">DEBT SERVICE COVERAGE RATIO (DSCR)</t>
  </si>
  <si>
    <t xml:space="preserve">DSCR = Operating Income / Annual Debt Payment</t>
  </si>
  <si>
    <t xml:space="preserve">Lenders typically require DSCR &gt; 1.25x. Values below 1.0x mean the project</t>
  </si>
  <si>
    <t xml:space="preserve">cannot cover its debt payments from operations alone.</t>
  </si>
  <si>
    <t xml:space="preserve">REVENUE DIVERSIFICATION STRATEGY</t>
  </si>
  <si>
    <t xml:space="preserve">The model deliberately avoids over-reliance on any single revenue stream.</t>
  </si>
  <si>
    <t xml:space="preserve">Ground leases provide the stable base (~40-50% of revenue at stabilization).</t>
  </si>
  <si>
    <t xml:space="preserve">Agricultural revenue provides seasonal upside and community purpose.</t>
  </si>
  <si>
    <t xml:space="preserve">Workshops and agritourism provide high-margin supplemental income.</t>
  </si>
  <si>
    <t xml:space="preserve">RECOMMENDED NEXT STEPS</t>
  </si>
  <si>
    <t xml:space="preserve">1. Identify target state and county — refine land cost and tax assumptions</t>
  </si>
  <si>
    <t xml:space="preserve">2. Engage CLT-experienced attorney for 501(c)(3) formation and ground lease drafting</t>
  </si>
  <si>
    <t xml:space="preserve">3. Obtain pre-qualification from a CDFI lender (e.g., RSF Social Finance, Reinvestment Fund)</t>
  </si>
  <si>
    <t xml:space="preserve">4. Develop detailed construction timeline and phasing plan</t>
  </si>
  <si>
    <t xml:space="preserve">5. Build founding member pipeline (minimum 4-6 committed households before land purchase)</t>
  </si>
  <si>
    <t xml:space="preserve">6. Apply for USDA Rural Development and state housing trust fund grants</t>
  </si>
  <si>
    <t xml:space="preserve">CAPITAL STACK METHODOLOGY (V2 UPDATE)</t>
  </si>
  <si>
    <t xml:space="preserve">The V2 model replaces the single-loan funding approach with a layered capital stack</t>
  </si>
  <si>
    <t xml:space="preserve">that reflects how successful CLTs actually get funded. Key changes:</t>
  </si>
  <si>
    <t xml:space="preserve">• PHASED CAPITAL DEPLOYMENT: Infrastructure costs are split into Phase 1 (land + minimal</t>
  </si>
  <si>
    <t xml:space="preserve">  site prep, Year 0-1) and Phase 2 (community hall + farm infrastructure, Year 2-3).</t>
  </si>
  <si>
    <t xml:space="preserve">  This reduces the upfront capital requirement by ~40% and allows early revenue to fund</t>
  </si>
  <si>
    <t xml:space="preserve">  later construction.</t>
  </si>
  <si>
    <t xml:space="preserve">• CONSERVATION EASEMENT: Selling a permanent agricultural conservation easement on</t>
  </si>
  <si>
    <t xml:space="preserve">  30+ acres generates $60K-$150K of non-dilutive capital. The easement restricts the</t>
  </si>
  <si>
    <t xml:space="preserve">  land to agricultural use forever — which is already the plan.</t>
  </si>
  <si>
    <t xml:space="preserve">• CDFI LENDING: Community Development Financial Institutions offer below-market rates</t>
  </si>
  <si>
    <t xml:space="preserve">  (3-5%) to mission-aligned projects. Key CDFIs for CLTs: RSF Social Finance,</t>
  </si>
  <si>
    <t xml:space="preserve">  Reinvestment Fund, National Cooperative Bank, Craft3 (Pacific NW).</t>
  </si>
  <si>
    <t xml:space="preserve">• GRANT STACKING: USDA EQIP (conservation), State Housing Trust Funds (affordability),</t>
  </si>
  <si>
    <t xml:space="preserve">  and USDA Rural Development (community facilities) can each contribute $25K-$100K</t>
  </si>
  <si>
    <t xml:space="preserve">  without diluting community ownership.</t>
  </si>
  <si>
    <t xml:space="preserve">• COMMUNITY INVESTMENT NOTES: Fixed-income instruments (3-5yr, 4% interest) offered to</t>
  </si>
  <si>
    <t xml:space="preserve">  impact investors. These are structured as debt, not equity — no ownership or voting</t>
  </si>
  <si>
    <t xml:space="preserve">  rights. Must be structured carefully to avoid securities registration requirements.</t>
  </si>
  <si>
    <t xml:space="preserve">• SAFETY RULE: No single funding source should exceed 70% of total capital. The</t>
  </si>
  <si>
    <t xml:space="preserve">  model tracks this metric to ensure the project survives if any one source falls through.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</si>
</sst>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;\(0.0%\);\-"/>
    <numFmt numFmtId="167" formatCode="#,##0"/>
    <numFmt numFmtId="168" formatCode="\$#,##0;&quot;($&quot;#,##0\);\-"/>
    <numFmt numFmtId="169" formatCode="0.0%;\(0.0%\);\-"/>
    <numFmt numFmtId="170" formatCode="0.00\x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4332"/>
      <name val="Arial"/>
      <family val="0"/>
      <charset val="1"/>
    </font>
    <font>
      <b val="true"/>
      <sz val="12"/>
      <color rgb="FF2D6A4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8B4513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9"/>
      <color rgb="FF1565C0"/>
      <name val="Arial"/>
      <family val="0"/>
      <charset val="1"/>
    </font>
    <font>
      <sz val="9"/>
      <color rgb="FF2D6A4F"/>
      <name val="Arial"/>
      <family val="0"/>
      <charset val="1"/>
    </font>
    <font>
      <sz val="10"/>
      <color rgb="FF33333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4332"/>
        <bgColor rgb="FF333333"/>
      </patternFill>
    </fill>
    <fill>
      <patternFill patternType="solid">
        <fgColor rgb="FFD8F3DC"/>
        <bgColor rgb="FFD4EDDA"/>
      </patternFill>
    </fill>
    <fill>
      <patternFill patternType="solid">
        <fgColor rgb="FFFFFFCC"/>
        <bgColor rgb="FFFFF3CD"/>
      </patternFill>
    </fill>
    <fill>
      <patternFill patternType="solid">
        <fgColor rgb="FFD4EDDA"/>
        <bgColor rgb="FFD8F3DC"/>
      </patternFill>
    </fill>
    <fill>
      <patternFill patternType="solid">
        <fgColor rgb="FFFFF3CD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B4332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2D6A4F"/>
      <rgbColor rgb="FFCCCCCC"/>
      <rgbColor rgb="FF666666"/>
      <rgbColor rgb="FF9999FF"/>
      <rgbColor rgb="FF6C3483"/>
      <rgbColor rgb="FFFFFFCC"/>
      <rgbColor rgb="FFD4EDDA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3C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C0D"/>
      <rgbColor rgb="FFFF6600"/>
      <rgbColor rgb="FF5D6D7E"/>
      <rgbColor rgb="FF969696"/>
      <rgbColor rgb="FF1A5276"/>
      <rgbColor rgb="FF2E7D32"/>
      <rgbColor rgb="FF003300"/>
      <rgbColor rgb="FF1B4332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332"/>
    <pageSetUpPr fitToPage="false"/>
  </sheetPr>
  <dimension ref="A1:F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8"/>
    <col collapsed="false" customWidth="true" hidden="false" outlineLevel="0" max="5" min="5" style="1" width="14"/>
    <col collapsed="false" customWidth="true" hidden="false" outlineLevel="0" max="6" min="6" style="1" width="4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5"/>
      <c r="C5" s="5"/>
      <c r="D5" s="5"/>
      <c r="E5" s="5"/>
      <c r="F5" s="5"/>
    </row>
    <row r="6" customFormat="false" ht="15" hidden="false" customHeight="true" outlineLevel="0" collapsed="false">
      <c r="A6" s="6" t="s">
        <v>9</v>
      </c>
      <c r="B6" s="7" t="n">
        <v>50</v>
      </c>
      <c r="C6" s="7" t="n">
        <v>50</v>
      </c>
      <c r="D6" s="7" t="n">
        <v>50</v>
      </c>
      <c r="E6" s="6" t="s">
        <v>10</v>
      </c>
      <c r="F6" s="8" t="s">
        <v>11</v>
      </c>
    </row>
    <row r="7" customFormat="false" ht="15" hidden="false" customHeight="true" outlineLevel="0" collapsed="false">
      <c r="A7" s="6" t="s">
        <v>12</v>
      </c>
      <c r="B7" s="9" t="n">
        <v>250000</v>
      </c>
      <c r="C7" s="9" t="n">
        <v>200000</v>
      </c>
      <c r="D7" s="9" t="n">
        <v>150000</v>
      </c>
      <c r="E7" s="6" t="s">
        <v>13</v>
      </c>
      <c r="F7" s="8" t="s">
        <v>14</v>
      </c>
    </row>
    <row r="8" customFormat="false" ht="15" hidden="false" customHeight="true" outlineLevel="0" collapsed="false">
      <c r="A8" s="6" t="s">
        <v>15</v>
      </c>
      <c r="B8" s="10" t="n">
        <f aca="false">B7/B6</f>
        <v>5000</v>
      </c>
      <c r="C8" s="10" t="n">
        <f aca="false">C7/C6</f>
        <v>4000</v>
      </c>
      <c r="D8" s="10" t="n">
        <f aca="false">D7/D6</f>
        <v>3000</v>
      </c>
      <c r="E8" s="6" t="s">
        <v>16</v>
      </c>
      <c r="F8" s="8" t="s">
        <v>17</v>
      </c>
    </row>
    <row r="9" customFormat="false" ht="15" hidden="false" customHeight="true" outlineLevel="0" collapsed="false">
      <c r="A9" s="6" t="s">
        <v>18</v>
      </c>
      <c r="B9" s="9" t="n">
        <v>350000</v>
      </c>
      <c r="C9" s="9" t="n">
        <v>300000</v>
      </c>
      <c r="D9" s="9" t="n">
        <v>250000</v>
      </c>
      <c r="E9" s="6" t="s">
        <v>13</v>
      </c>
      <c r="F9" s="8" t="s">
        <v>19</v>
      </c>
    </row>
    <row r="10" customFormat="false" ht="15" hidden="false" customHeight="true" outlineLevel="0" collapsed="false">
      <c r="A10" s="6" t="s">
        <v>20</v>
      </c>
      <c r="B10" s="9" t="n">
        <v>400000</v>
      </c>
      <c r="C10" s="9" t="n">
        <v>350000</v>
      </c>
      <c r="D10" s="9" t="n">
        <v>300000</v>
      </c>
      <c r="E10" s="6" t="s">
        <v>13</v>
      </c>
      <c r="F10" s="8" t="s">
        <v>21</v>
      </c>
    </row>
    <row r="11" customFormat="false" ht="15" hidden="false" customHeight="true" outlineLevel="0" collapsed="false">
      <c r="A11" s="6" t="s">
        <v>22</v>
      </c>
      <c r="B11" s="10" t="n">
        <f aca="false">B7+B9+B10</f>
        <v>1000000</v>
      </c>
      <c r="C11" s="10" t="n">
        <f aca="false">C7+C9+C10</f>
        <v>850000</v>
      </c>
      <c r="D11" s="10" t="n">
        <f aca="false">D7+D9+D10</f>
        <v>700000</v>
      </c>
      <c r="E11" s="6" t="s">
        <v>13</v>
      </c>
      <c r="F11" s="8" t="s">
        <v>23</v>
      </c>
    </row>
    <row r="12" customFormat="false" ht="15" hidden="false" customHeight="true" outlineLevel="0" collapsed="false">
      <c r="A12" s="6" t="s">
        <v>24</v>
      </c>
      <c r="B12" s="11" t="n">
        <v>0.15</v>
      </c>
      <c r="C12" s="11" t="n">
        <v>0.1</v>
      </c>
      <c r="D12" s="11" t="n">
        <v>0.08</v>
      </c>
      <c r="E12" s="6" t="s">
        <v>25</v>
      </c>
      <c r="F12" s="8" t="s">
        <v>26</v>
      </c>
    </row>
    <row r="13" customFormat="false" ht="15" hidden="false" customHeight="true" outlineLevel="0" collapsed="false">
      <c r="A13" s="12" t="s">
        <v>27</v>
      </c>
      <c r="B13" s="13" t="n">
        <f aca="false">B11*(1+B12)</f>
        <v>1150000</v>
      </c>
      <c r="C13" s="13" t="n">
        <f aca="false">C11*(1+C12)</f>
        <v>935000</v>
      </c>
      <c r="D13" s="13" t="n">
        <f aca="false">D11*(1+D12)</f>
        <v>756000</v>
      </c>
      <c r="E13" s="12" t="s">
        <v>13</v>
      </c>
      <c r="F13" s="12" t="s">
        <v>28</v>
      </c>
    </row>
    <row r="15" customFormat="false" ht="15" hidden="false" customHeight="true" outlineLevel="0" collapsed="false">
      <c r="A15" s="5" t="s">
        <v>29</v>
      </c>
      <c r="B15" s="5"/>
      <c r="C15" s="5"/>
      <c r="D15" s="5"/>
      <c r="E15" s="5"/>
      <c r="F15" s="5"/>
    </row>
    <row r="16" customFormat="false" ht="15" hidden="false" customHeight="true" outlineLevel="0" collapsed="false">
      <c r="A16" s="6" t="s">
        <v>30</v>
      </c>
      <c r="B16" s="7" t="n">
        <v>12</v>
      </c>
      <c r="C16" s="7" t="n">
        <v>12</v>
      </c>
      <c r="D16" s="7" t="n">
        <v>12</v>
      </c>
      <c r="E16" s="6" t="s">
        <v>31</v>
      </c>
      <c r="F16" s="8" t="s">
        <v>32</v>
      </c>
    </row>
    <row r="17" customFormat="false" ht="15" hidden="false" customHeight="true" outlineLevel="0" collapsed="false">
      <c r="A17" s="6" t="s">
        <v>33</v>
      </c>
      <c r="B17" s="9" t="n">
        <v>45000</v>
      </c>
      <c r="C17" s="9" t="n">
        <v>55000</v>
      </c>
      <c r="D17" s="9" t="n">
        <v>65000</v>
      </c>
      <c r="E17" s="6" t="s">
        <v>13</v>
      </c>
      <c r="F17" s="8" t="s">
        <v>34</v>
      </c>
    </row>
    <row r="18" customFormat="false" ht="15" hidden="false" customHeight="true" outlineLevel="0" collapsed="false">
      <c r="A18" s="6" t="s">
        <v>35</v>
      </c>
      <c r="B18" s="9" t="n">
        <v>450</v>
      </c>
      <c r="C18" s="9" t="n">
        <v>500</v>
      </c>
      <c r="D18" s="9" t="n">
        <v>550</v>
      </c>
      <c r="E18" s="6" t="s">
        <v>36</v>
      </c>
      <c r="F18" s="8" t="s">
        <v>37</v>
      </c>
    </row>
    <row r="19" customFormat="false" ht="15" hidden="false" customHeight="true" outlineLevel="0" collapsed="false">
      <c r="A19" s="6" t="s">
        <v>38</v>
      </c>
      <c r="B19" s="11" t="n">
        <v>0.02</v>
      </c>
      <c r="C19" s="11" t="n">
        <v>0.025</v>
      </c>
      <c r="D19" s="11" t="n">
        <v>0.03</v>
      </c>
      <c r="E19" s="6" t="s">
        <v>25</v>
      </c>
      <c r="F19" s="8" t="s">
        <v>39</v>
      </c>
    </row>
    <row r="20" customFormat="false" ht="15" hidden="false" customHeight="true" outlineLevel="0" collapsed="false">
      <c r="A20" s="6" t="s">
        <v>40</v>
      </c>
      <c r="B20" s="7" t="n">
        <v>4</v>
      </c>
      <c r="C20" s="7" t="n">
        <v>5</v>
      </c>
      <c r="D20" s="7" t="n">
        <v>6</v>
      </c>
      <c r="E20" s="6" t="s">
        <v>31</v>
      </c>
      <c r="F20" s="8" t="s">
        <v>41</v>
      </c>
    </row>
    <row r="21" customFormat="false" ht="15" hidden="false" customHeight="true" outlineLevel="0" collapsed="false">
      <c r="A21" s="6" t="s">
        <v>42</v>
      </c>
      <c r="B21" s="7" t="n">
        <v>7</v>
      </c>
      <c r="C21" s="7" t="n">
        <v>8</v>
      </c>
      <c r="D21" s="7" t="n">
        <v>9</v>
      </c>
      <c r="E21" s="6" t="s">
        <v>31</v>
      </c>
      <c r="F21" s="8"/>
    </row>
    <row r="22" customFormat="false" ht="15" hidden="false" customHeight="true" outlineLevel="0" collapsed="false">
      <c r="A22" s="6" t="s">
        <v>43</v>
      </c>
      <c r="B22" s="7" t="n">
        <v>9</v>
      </c>
      <c r="C22" s="7" t="n">
        <v>10</v>
      </c>
      <c r="D22" s="7" t="n">
        <v>11</v>
      </c>
      <c r="E22" s="6" t="s">
        <v>31</v>
      </c>
      <c r="F22" s="8"/>
    </row>
    <row r="23" customFormat="false" ht="15" hidden="false" customHeight="true" outlineLevel="0" collapsed="false">
      <c r="A23" s="6" t="s">
        <v>44</v>
      </c>
      <c r="B23" s="7" t="n">
        <v>11</v>
      </c>
      <c r="C23" s="7" t="n">
        <v>12</v>
      </c>
      <c r="D23" s="7" t="n">
        <v>12</v>
      </c>
      <c r="E23" s="6" t="s">
        <v>31</v>
      </c>
      <c r="F23" s="8" t="s">
        <v>45</v>
      </c>
    </row>
    <row r="24" customFormat="false" ht="15" hidden="false" customHeight="true" outlineLevel="0" collapsed="false">
      <c r="A24" s="6" t="s">
        <v>46</v>
      </c>
      <c r="B24" s="11" t="n">
        <v>0.05</v>
      </c>
      <c r="C24" s="11" t="n">
        <v>0.03</v>
      </c>
      <c r="D24" s="11" t="n">
        <v>0.02</v>
      </c>
      <c r="E24" s="6" t="s">
        <v>25</v>
      </c>
      <c r="F24" s="8" t="s">
        <v>47</v>
      </c>
    </row>
    <row r="26" customFormat="false" ht="15" hidden="false" customHeight="true" outlineLevel="0" collapsed="false">
      <c r="A26" s="5" t="s">
        <v>48</v>
      </c>
      <c r="B26" s="5"/>
      <c r="C26" s="5"/>
      <c r="D26" s="5"/>
      <c r="E26" s="5"/>
      <c r="F26" s="5"/>
    </row>
    <row r="27" customFormat="false" ht="15" hidden="false" customHeight="true" outlineLevel="0" collapsed="false">
      <c r="A27" s="6" t="s">
        <v>49</v>
      </c>
      <c r="B27" s="7" t="n">
        <v>20</v>
      </c>
      <c r="C27" s="7" t="n">
        <v>30</v>
      </c>
      <c r="D27" s="7" t="n">
        <v>40</v>
      </c>
      <c r="E27" s="6" t="s">
        <v>31</v>
      </c>
      <c r="F27" s="8" t="s">
        <v>50</v>
      </c>
    </row>
    <row r="28" customFormat="false" ht="15" hidden="false" customHeight="true" outlineLevel="0" collapsed="false">
      <c r="A28" s="6" t="s">
        <v>51</v>
      </c>
      <c r="B28" s="7" t="n">
        <v>50</v>
      </c>
      <c r="C28" s="7" t="n">
        <v>75</v>
      </c>
      <c r="D28" s="7" t="n">
        <v>100</v>
      </c>
      <c r="E28" s="6" t="s">
        <v>31</v>
      </c>
      <c r="F28" s="8" t="s">
        <v>52</v>
      </c>
    </row>
    <row r="29" customFormat="false" ht="15" hidden="false" customHeight="true" outlineLevel="0" collapsed="false">
      <c r="A29" s="6" t="s">
        <v>53</v>
      </c>
      <c r="B29" s="9" t="n">
        <v>600</v>
      </c>
      <c r="C29" s="9" t="n">
        <v>650</v>
      </c>
      <c r="D29" s="9" t="n">
        <v>700</v>
      </c>
      <c r="E29" s="6" t="s">
        <v>13</v>
      </c>
      <c r="F29" s="8" t="s">
        <v>54</v>
      </c>
    </row>
    <row r="30" customFormat="false" ht="15" hidden="false" customHeight="true" outlineLevel="0" collapsed="false">
      <c r="A30" s="6" t="s">
        <v>55</v>
      </c>
      <c r="B30" s="11" t="n">
        <v>0.03</v>
      </c>
      <c r="C30" s="11" t="n">
        <v>0.03</v>
      </c>
      <c r="D30" s="11" t="n">
        <v>0.04</v>
      </c>
      <c r="E30" s="6" t="s">
        <v>25</v>
      </c>
      <c r="F30" s="8"/>
    </row>
    <row r="31" customFormat="false" ht="15" hidden="false" customHeight="true" outlineLevel="0" collapsed="false">
      <c r="A31" s="6" t="s">
        <v>56</v>
      </c>
      <c r="B31" s="9" t="n">
        <v>400</v>
      </c>
      <c r="C31" s="9" t="n">
        <v>600</v>
      </c>
      <c r="D31" s="9" t="n">
        <v>800</v>
      </c>
      <c r="E31" s="6" t="s">
        <v>57</v>
      </c>
      <c r="F31" s="8" t="s">
        <v>58</v>
      </c>
    </row>
    <row r="32" customFormat="false" ht="15" hidden="false" customHeight="true" outlineLevel="0" collapsed="false">
      <c r="A32" s="6" t="s">
        <v>59</v>
      </c>
      <c r="B32" s="11" t="n">
        <v>0.05</v>
      </c>
      <c r="C32" s="11" t="n">
        <v>0.08</v>
      </c>
      <c r="D32" s="11" t="n">
        <v>0.1</v>
      </c>
      <c r="E32" s="6" t="s">
        <v>25</v>
      </c>
      <c r="F32" s="8" t="s">
        <v>60</v>
      </c>
    </row>
    <row r="33" customFormat="false" ht="15" hidden="false" customHeight="true" outlineLevel="0" collapsed="false">
      <c r="A33" s="6" t="s">
        <v>61</v>
      </c>
      <c r="B33" s="7" t="n">
        <v>20</v>
      </c>
      <c r="C33" s="7" t="n">
        <v>24</v>
      </c>
      <c r="D33" s="7" t="n">
        <v>28</v>
      </c>
      <c r="E33" s="6" t="s">
        <v>31</v>
      </c>
      <c r="F33" s="8" t="s">
        <v>62</v>
      </c>
    </row>
    <row r="34" customFormat="false" ht="15" hidden="false" customHeight="true" outlineLevel="0" collapsed="false">
      <c r="A34" s="6" t="s">
        <v>63</v>
      </c>
      <c r="B34" s="9" t="n">
        <v>3000</v>
      </c>
      <c r="C34" s="9" t="n">
        <v>5000</v>
      </c>
      <c r="D34" s="9" t="n">
        <v>8000</v>
      </c>
      <c r="E34" s="6" t="s">
        <v>64</v>
      </c>
      <c r="F34" s="8" t="s">
        <v>65</v>
      </c>
    </row>
    <row r="35" customFormat="false" ht="15" hidden="false" customHeight="true" outlineLevel="0" collapsed="false">
      <c r="A35" s="6" t="s">
        <v>66</v>
      </c>
      <c r="B35" s="11" t="n">
        <v>0.1</v>
      </c>
      <c r="C35" s="11" t="n">
        <v>0.15</v>
      </c>
      <c r="D35" s="11" t="n">
        <v>0.2</v>
      </c>
      <c r="E35" s="6" t="s">
        <v>25</v>
      </c>
      <c r="F35" s="8" t="s">
        <v>67</v>
      </c>
    </row>
    <row r="37" customFormat="false" ht="15" hidden="false" customHeight="true" outlineLevel="0" collapsed="false">
      <c r="A37" s="5" t="s">
        <v>68</v>
      </c>
      <c r="B37" s="5"/>
      <c r="C37" s="5"/>
      <c r="D37" s="5"/>
      <c r="E37" s="5"/>
      <c r="F37" s="5"/>
    </row>
    <row r="38" customFormat="false" ht="15" hidden="false" customHeight="true" outlineLevel="0" collapsed="false">
      <c r="A38" s="6" t="s">
        <v>69</v>
      </c>
      <c r="B38" s="7" t="n">
        <v>6</v>
      </c>
      <c r="C38" s="7" t="n">
        <v>10</v>
      </c>
      <c r="D38" s="7" t="n">
        <v>15</v>
      </c>
      <c r="E38" s="6" t="s">
        <v>31</v>
      </c>
      <c r="F38" s="8" t="s">
        <v>70</v>
      </c>
    </row>
    <row r="39" customFormat="false" ht="15" hidden="false" customHeight="true" outlineLevel="0" collapsed="false">
      <c r="A39" s="6" t="s">
        <v>71</v>
      </c>
      <c r="B39" s="7" t="n">
        <v>18</v>
      </c>
      <c r="C39" s="7" t="n">
        <v>24</v>
      </c>
      <c r="D39" s="7" t="n">
        <v>36</v>
      </c>
      <c r="E39" s="6" t="s">
        <v>31</v>
      </c>
      <c r="F39" s="8"/>
    </row>
    <row r="40" customFormat="false" ht="15" hidden="false" customHeight="true" outlineLevel="0" collapsed="false">
      <c r="A40" s="6" t="s">
        <v>72</v>
      </c>
      <c r="B40" s="7" t="n">
        <v>10</v>
      </c>
      <c r="C40" s="7" t="n">
        <v>12</v>
      </c>
      <c r="D40" s="7" t="n">
        <v>15</v>
      </c>
      <c r="E40" s="6" t="s">
        <v>31</v>
      </c>
      <c r="F40" s="8"/>
    </row>
    <row r="41" customFormat="false" ht="15" hidden="false" customHeight="true" outlineLevel="0" collapsed="false">
      <c r="A41" s="6" t="s">
        <v>73</v>
      </c>
      <c r="B41" s="9" t="n">
        <v>50</v>
      </c>
      <c r="C41" s="9" t="n">
        <v>65</v>
      </c>
      <c r="D41" s="9" t="n">
        <v>75</v>
      </c>
      <c r="E41" s="6" t="s">
        <v>13</v>
      </c>
      <c r="F41" s="8"/>
    </row>
    <row r="42" customFormat="false" ht="15" hidden="false" customHeight="true" outlineLevel="0" collapsed="false">
      <c r="A42" s="6" t="s">
        <v>74</v>
      </c>
      <c r="B42" s="11" t="n">
        <v>0.02</v>
      </c>
      <c r="C42" s="11" t="n">
        <v>0.03</v>
      </c>
      <c r="D42" s="11" t="n">
        <v>0.03</v>
      </c>
      <c r="E42" s="6" t="s">
        <v>25</v>
      </c>
      <c r="F42" s="8"/>
    </row>
    <row r="43" customFormat="false" ht="15" hidden="false" customHeight="true" outlineLevel="0" collapsed="false">
      <c r="A43" s="6" t="s">
        <v>75</v>
      </c>
      <c r="B43" s="9" t="n">
        <v>1000</v>
      </c>
      <c r="C43" s="9" t="n">
        <v>2000</v>
      </c>
      <c r="D43" s="9" t="n">
        <v>3000</v>
      </c>
      <c r="E43" s="6" t="s">
        <v>64</v>
      </c>
      <c r="F43" s="8" t="s">
        <v>76</v>
      </c>
    </row>
    <row r="44" customFormat="false" ht="15" hidden="false" customHeight="true" outlineLevel="0" collapsed="false">
      <c r="A44" s="6" t="s">
        <v>77</v>
      </c>
      <c r="B44" s="11" t="n">
        <v>0.1</v>
      </c>
      <c r="C44" s="11" t="n">
        <v>0.15</v>
      </c>
      <c r="D44" s="11" t="n">
        <v>0.2</v>
      </c>
      <c r="E44" s="6" t="s">
        <v>25</v>
      </c>
      <c r="F44" s="8"/>
    </row>
    <row r="45" customFormat="false" ht="15" hidden="false" customHeight="true" outlineLevel="0" collapsed="false">
      <c r="A45" s="6" t="s">
        <v>78</v>
      </c>
      <c r="B45" s="9" t="n">
        <v>200</v>
      </c>
      <c r="C45" s="9" t="n">
        <v>350</v>
      </c>
      <c r="D45" s="9" t="n">
        <v>500</v>
      </c>
      <c r="E45" s="6" t="s">
        <v>36</v>
      </c>
      <c r="F45" s="8" t="s">
        <v>79</v>
      </c>
    </row>
    <row r="46" customFormat="false" ht="15" hidden="false" customHeight="true" outlineLevel="0" collapsed="false">
      <c r="A46" s="6" t="s">
        <v>80</v>
      </c>
      <c r="B46" s="7" t="n">
        <v>8</v>
      </c>
      <c r="C46" s="7" t="n">
        <v>10</v>
      </c>
      <c r="D46" s="7" t="n">
        <v>12</v>
      </c>
      <c r="E46" s="6" t="s">
        <v>31</v>
      </c>
      <c r="F46" s="8"/>
    </row>
    <row r="48" customFormat="false" ht="15" hidden="false" customHeight="true" outlineLevel="0" collapsed="false">
      <c r="A48" s="5" t="s">
        <v>81</v>
      </c>
      <c r="B48" s="5"/>
      <c r="C48" s="5"/>
      <c r="D48" s="5"/>
      <c r="E48" s="5"/>
      <c r="F48" s="5"/>
    </row>
    <row r="49" customFormat="false" ht="15" hidden="false" customHeight="true" outlineLevel="0" collapsed="false">
      <c r="A49" s="6" t="s">
        <v>82</v>
      </c>
      <c r="B49" s="9" t="n">
        <v>4000</v>
      </c>
      <c r="C49" s="9" t="n">
        <v>2500</v>
      </c>
      <c r="D49" s="9" t="n">
        <v>0</v>
      </c>
      <c r="E49" s="6" t="s">
        <v>64</v>
      </c>
      <c r="F49" s="8" t="s">
        <v>83</v>
      </c>
    </row>
    <row r="50" customFormat="false" ht="15" hidden="false" customHeight="true" outlineLevel="0" collapsed="false">
      <c r="A50" s="6" t="s">
        <v>84</v>
      </c>
      <c r="B50" s="9" t="n">
        <v>8000</v>
      </c>
      <c r="C50" s="9" t="n">
        <v>7000</v>
      </c>
      <c r="D50" s="9" t="n">
        <v>6000</v>
      </c>
      <c r="E50" s="6" t="s">
        <v>64</v>
      </c>
      <c r="F50" s="8" t="s">
        <v>85</v>
      </c>
    </row>
    <row r="51" customFormat="false" ht="15" hidden="false" customHeight="true" outlineLevel="0" collapsed="false">
      <c r="A51" s="6" t="s">
        <v>86</v>
      </c>
      <c r="B51" s="9" t="n">
        <v>6000</v>
      </c>
      <c r="C51" s="9" t="n">
        <v>5000</v>
      </c>
      <c r="D51" s="9" t="n">
        <v>4500</v>
      </c>
      <c r="E51" s="6" t="s">
        <v>64</v>
      </c>
      <c r="F51" s="8" t="s">
        <v>87</v>
      </c>
    </row>
    <row r="52" customFormat="false" ht="15" hidden="false" customHeight="true" outlineLevel="0" collapsed="false">
      <c r="A52" s="6" t="s">
        <v>88</v>
      </c>
      <c r="B52" s="11" t="n">
        <v>0.08</v>
      </c>
      <c r="C52" s="11" t="n">
        <v>0.06</v>
      </c>
      <c r="D52" s="11" t="n">
        <v>0.05</v>
      </c>
      <c r="E52" s="6" t="s">
        <v>25</v>
      </c>
      <c r="F52" s="8" t="s">
        <v>89</v>
      </c>
    </row>
    <row r="53" customFormat="false" ht="15" hidden="false" customHeight="true" outlineLevel="0" collapsed="false">
      <c r="A53" s="6" t="s">
        <v>90</v>
      </c>
      <c r="B53" s="9" t="n">
        <v>12000</v>
      </c>
      <c r="C53" s="9" t="n">
        <v>15000</v>
      </c>
      <c r="D53" s="9" t="n">
        <v>18000</v>
      </c>
      <c r="E53" s="6" t="s">
        <v>64</v>
      </c>
      <c r="F53" s="8" t="s">
        <v>91</v>
      </c>
    </row>
    <row r="54" customFormat="false" ht="15" hidden="false" customHeight="true" outlineLevel="0" collapsed="false">
      <c r="A54" s="6" t="s">
        <v>92</v>
      </c>
      <c r="B54" s="11" t="n">
        <v>0.05</v>
      </c>
      <c r="C54" s="11" t="n">
        <v>0.06</v>
      </c>
      <c r="D54" s="11" t="n">
        <v>0.07</v>
      </c>
      <c r="E54" s="6" t="s">
        <v>25</v>
      </c>
      <c r="F54" s="8" t="s">
        <v>93</v>
      </c>
    </row>
    <row r="55" customFormat="false" ht="15" hidden="false" customHeight="true" outlineLevel="0" collapsed="false">
      <c r="A55" s="6" t="s">
        <v>94</v>
      </c>
      <c r="B55" s="9" t="n">
        <v>8000</v>
      </c>
      <c r="C55" s="9" t="n">
        <v>6000</v>
      </c>
      <c r="D55" s="9" t="n">
        <v>5000</v>
      </c>
      <c r="E55" s="6" t="s">
        <v>64</v>
      </c>
      <c r="F55" s="8" t="s">
        <v>95</v>
      </c>
    </row>
    <row r="56" customFormat="false" ht="15" hidden="false" customHeight="true" outlineLevel="0" collapsed="false">
      <c r="A56" s="6" t="s">
        <v>96</v>
      </c>
      <c r="B56" s="9" t="n">
        <v>2000</v>
      </c>
      <c r="C56" s="9" t="n">
        <v>3000</v>
      </c>
      <c r="D56" s="9" t="n">
        <v>4000</v>
      </c>
      <c r="E56" s="6" t="s">
        <v>64</v>
      </c>
      <c r="F56" s="8" t="s">
        <v>97</v>
      </c>
    </row>
    <row r="57" customFormat="false" ht="15" hidden="false" customHeight="true" outlineLevel="0" collapsed="false">
      <c r="A57" s="6" t="s">
        <v>98</v>
      </c>
      <c r="B57" s="9" t="n">
        <v>0</v>
      </c>
      <c r="C57" s="9" t="n">
        <v>12000</v>
      </c>
      <c r="D57" s="9" t="n">
        <v>18000</v>
      </c>
      <c r="E57" s="6" t="s">
        <v>64</v>
      </c>
      <c r="F57" s="8" t="s">
        <v>99</v>
      </c>
    </row>
    <row r="58" customFormat="false" ht="15" hidden="false" customHeight="true" outlineLevel="0" collapsed="false">
      <c r="A58" s="6" t="s">
        <v>100</v>
      </c>
      <c r="B58" s="9" t="n">
        <v>15000</v>
      </c>
      <c r="C58" s="9" t="n">
        <v>24000</v>
      </c>
      <c r="D58" s="9" t="n">
        <v>32000</v>
      </c>
      <c r="E58" s="6" t="s">
        <v>64</v>
      </c>
      <c r="F58" s="8" t="s">
        <v>101</v>
      </c>
    </row>
    <row r="59" customFormat="false" ht="15" hidden="false" customHeight="true" outlineLevel="0" collapsed="false">
      <c r="A59" s="6" t="s">
        <v>102</v>
      </c>
      <c r="B59" s="11" t="n">
        <v>0.03</v>
      </c>
      <c r="C59" s="11" t="n">
        <v>0.03</v>
      </c>
      <c r="D59" s="11" t="n">
        <v>0.03</v>
      </c>
      <c r="E59" s="6" t="s">
        <v>25</v>
      </c>
      <c r="F59" s="8" t="s">
        <v>103</v>
      </c>
    </row>
    <row r="61" customFormat="false" ht="15" hidden="false" customHeight="true" outlineLevel="0" collapsed="false">
      <c r="A61" s="5" t="s">
        <v>104</v>
      </c>
      <c r="B61" s="5"/>
      <c r="C61" s="5"/>
      <c r="D61" s="5"/>
      <c r="E61" s="5"/>
      <c r="F61" s="5"/>
    </row>
    <row r="62" customFormat="false" ht="15" hidden="false" customHeight="true" outlineLevel="0" collapsed="false">
      <c r="A62" s="5" t="s">
        <v>105</v>
      </c>
      <c r="B62" s="14" t="n">
        <v>5000</v>
      </c>
      <c r="C62" s="14" t="n">
        <v>7500</v>
      </c>
      <c r="D62" s="14" t="n">
        <v>10000</v>
      </c>
      <c r="E62" s="5" t="s">
        <v>13</v>
      </c>
      <c r="F62" s="5" t="s">
        <v>106</v>
      </c>
    </row>
    <row r="63" customFormat="false" ht="15" hidden="false" customHeight="true" outlineLevel="0" collapsed="false">
      <c r="A63" s="6" t="s">
        <v>107</v>
      </c>
      <c r="B63" s="9" t="n">
        <v>250000</v>
      </c>
      <c r="C63" s="9" t="n">
        <v>200000</v>
      </c>
      <c r="D63" s="9" t="n">
        <v>150000</v>
      </c>
      <c r="E63" s="6" t="s">
        <v>13</v>
      </c>
      <c r="F63" s="8" t="s">
        <v>108</v>
      </c>
    </row>
    <row r="64" customFormat="false" ht="15" hidden="false" customHeight="true" outlineLevel="0" collapsed="false">
      <c r="A64" s="6" t="s">
        <v>109</v>
      </c>
      <c r="B64" s="9" t="n">
        <v>120000</v>
      </c>
      <c r="C64" s="9" t="n">
        <v>100000</v>
      </c>
      <c r="D64" s="9" t="n">
        <v>80000</v>
      </c>
      <c r="E64" s="6" t="s">
        <v>13</v>
      </c>
      <c r="F64" s="8" t="s">
        <v>110</v>
      </c>
    </row>
    <row r="65" customFormat="false" ht="15" hidden="false" customHeight="true" outlineLevel="0" collapsed="false">
      <c r="A65" s="6" t="s">
        <v>111</v>
      </c>
      <c r="B65" s="9" t="n">
        <v>15000</v>
      </c>
      <c r="C65" s="9" t="n">
        <v>12000</v>
      </c>
      <c r="D65" s="9" t="n">
        <v>10000</v>
      </c>
      <c r="E65" s="6" t="s">
        <v>13</v>
      </c>
      <c r="F65" s="8" t="s">
        <v>112</v>
      </c>
    </row>
    <row r="66" customFormat="false" ht="15" hidden="false" customHeight="true" outlineLevel="0" collapsed="false">
      <c r="A66" s="12" t="s">
        <v>113</v>
      </c>
      <c r="B66" s="15" t="n">
        <f aca="false">B63+B64+B65</f>
        <v>385000</v>
      </c>
      <c r="C66" s="15" t="n">
        <f aca="false">C63+C64+C65</f>
        <v>312000</v>
      </c>
      <c r="D66" s="15" t="n">
        <f aca="false">D63+D64+D65</f>
        <v>240000</v>
      </c>
      <c r="E66" s="12" t="s">
        <v>13</v>
      </c>
      <c r="F66" s="12"/>
    </row>
    <row r="67" customFormat="false" ht="15" hidden="false" customHeight="true" outlineLevel="0" collapsed="false">
      <c r="A67" s="6"/>
      <c r="B67" s="9" t="n">
        <v>500000</v>
      </c>
      <c r="C67" s="9" t="n">
        <v>400000</v>
      </c>
      <c r="D67" s="9" t="n">
        <v>300000</v>
      </c>
      <c r="E67" s="6" t="s">
        <v>13</v>
      </c>
      <c r="F67" s="8" t="s">
        <v>114</v>
      </c>
    </row>
    <row r="68" customFormat="false" ht="15" hidden="false" customHeight="true" outlineLevel="0" collapsed="false">
      <c r="A68" s="5" t="s">
        <v>115</v>
      </c>
      <c r="B68" s="16" t="n">
        <v>0.055</v>
      </c>
      <c r="C68" s="16" t="n">
        <v>0.045</v>
      </c>
      <c r="D68" s="16" t="n">
        <v>0.035</v>
      </c>
      <c r="E68" s="5" t="s">
        <v>25</v>
      </c>
      <c r="F68" s="5" t="s">
        <v>116</v>
      </c>
    </row>
    <row r="69" customFormat="false" ht="15" hidden="false" customHeight="true" outlineLevel="0" collapsed="false">
      <c r="A69" s="6" t="s">
        <v>117</v>
      </c>
      <c r="B69" s="9" t="n">
        <v>250000</v>
      </c>
      <c r="C69" s="9" t="n">
        <v>200000</v>
      </c>
      <c r="D69" s="9" t="n">
        <v>150000</v>
      </c>
      <c r="E69" s="6" t="s">
        <v>13</v>
      </c>
      <c r="F69" s="8" t="s">
        <v>118</v>
      </c>
    </row>
    <row r="70" customFormat="false" ht="15" hidden="false" customHeight="true" outlineLevel="0" collapsed="false">
      <c r="A70" s="6" t="s">
        <v>119</v>
      </c>
      <c r="B70" s="9" t="n">
        <v>60000</v>
      </c>
      <c r="C70" s="9" t="n">
        <v>50000</v>
      </c>
      <c r="D70" s="9" t="n">
        <v>40000</v>
      </c>
      <c r="E70" s="6" t="s">
        <v>13</v>
      </c>
      <c r="F70" s="8" t="s">
        <v>120</v>
      </c>
    </row>
    <row r="71" customFormat="false" ht="15" hidden="false" customHeight="true" outlineLevel="0" collapsed="false">
      <c r="A71" s="12" t="s">
        <v>121</v>
      </c>
      <c r="B71" s="15" t="n">
        <f aca="false">B69+B70</f>
        <v>310000</v>
      </c>
      <c r="C71" s="15" t="n">
        <f aca="false">C69+C70</f>
        <v>250000</v>
      </c>
      <c r="D71" s="15" t="n">
        <f aca="false">D69+D70</f>
        <v>190000</v>
      </c>
      <c r="E71" s="12" t="s">
        <v>13</v>
      </c>
      <c r="F71" s="12"/>
    </row>
    <row r="72" customFormat="false" ht="15" hidden="false" customHeight="true" outlineLevel="0" collapsed="false">
      <c r="A72" s="17"/>
      <c r="B72" s="13" t="n">
        <f aca="false">B64+B65+B66+B67+B71</f>
        <v>1330000</v>
      </c>
      <c r="C72" s="13" t="n">
        <f aca="false">C64+C65+C66+C67+C71</f>
        <v>1074000</v>
      </c>
      <c r="D72" s="13" t="n">
        <f aca="false">D64+D65+D66+D67+D71</f>
        <v>820000</v>
      </c>
      <c r="E72" s="12" t="s">
        <v>13</v>
      </c>
      <c r="F72" s="12"/>
    </row>
    <row r="73" customFormat="false" ht="15" hidden="false" customHeight="true" outlineLevel="0" collapsed="false">
      <c r="A73" s="12" t="s">
        <v>122</v>
      </c>
      <c r="B73" s="13" t="n">
        <f aca="false">B66+B71</f>
        <v>695000</v>
      </c>
      <c r="C73" s="13" t="n">
        <f aca="false">C66+C71</f>
        <v>562000</v>
      </c>
      <c r="D73" s="13" t="n">
        <f aca="false">D66+D71</f>
        <v>430000</v>
      </c>
      <c r="E73" s="12" t="s">
        <v>13</v>
      </c>
      <c r="F73" s="12"/>
    </row>
    <row r="74" customFormat="false" ht="15" hidden="false" customHeight="true" outlineLevel="0" collapsed="false">
      <c r="A74" s="6"/>
    </row>
    <row r="75" customFormat="false" ht="15" hidden="false" customHeight="true" outlineLevel="0" collapsed="false">
      <c r="A75" s="5" t="s">
        <v>123</v>
      </c>
      <c r="B75" s="5"/>
      <c r="C75" s="5"/>
      <c r="D75" s="5"/>
      <c r="E75" s="5"/>
      <c r="F75" s="5"/>
    </row>
    <row r="76" customFormat="false" ht="15" hidden="false" customHeight="true" outlineLevel="0" collapsed="false">
      <c r="A76" s="6" t="s">
        <v>124</v>
      </c>
      <c r="B76" s="9" t="n">
        <v>250000</v>
      </c>
      <c r="C76" s="9" t="n">
        <v>200000</v>
      </c>
      <c r="D76" s="9" t="n">
        <v>150000</v>
      </c>
      <c r="E76" s="6" t="s">
        <v>13</v>
      </c>
      <c r="F76" s="8" t="s">
        <v>125</v>
      </c>
    </row>
    <row r="77" customFormat="false" ht="15" hidden="false" customHeight="true" outlineLevel="0" collapsed="false">
      <c r="A77" s="6" t="s">
        <v>126</v>
      </c>
      <c r="B77" s="11" t="n">
        <v>0.055</v>
      </c>
      <c r="C77" s="11" t="n">
        <v>0.045</v>
      </c>
      <c r="D77" s="11" t="n">
        <v>0.035</v>
      </c>
      <c r="E77" s="6" t="s">
        <v>25</v>
      </c>
      <c r="F77" s="8" t="s">
        <v>127</v>
      </c>
    </row>
    <row r="78" customFormat="false" ht="15" hidden="false" customHeight="true" outlineLevel="0" collapsed="false">
      <c r="A78" s="6" t="s">
        <v>128</v>
      </c>
      <c r="B78" s="7" t="n">
        <v>20</v>
      </c>
      <c r="C78" s="7" t="n">
        <v>25</v>
      </c>
      <c r="D78" s="7" t="n">
        <v>30</v>
      </c>
      <c r="E78" s="6" t="s">
        <v>129</v>
      </c>
      <c r="F78" s="8"/>
    </row>
    <row r="79" customFormat="false" ht="15" hidden="false" customHeight="true" outlineLevel="0" collapsed="false">
      <c r="A79" s="6" t="s">
        <v>130</v>
      </c>
      <c r="B79" s="10" t="n">
        <f aca="false">PMT(B77,B78,-B76)</f>
        <v>20919.8325087333</v>
      </c>
      <c r="C79" s="10" t="n">
        <f aca="false">PMT(C77,C78,-C76)</f>
        <v>13487.8056077389</v>
      </c>
      <c r="D79" s="10" t="n">
        <f aca="false">PMT(D77,D78,-D76)</f>
        <v>8155.69974111353</v>
      </c>
      <c r="E79" s="6" t="s">
        <v>64</v>
      </c>
      <c r="F79" s="8"/>
    </row>
    <row r="80" customFormat="false" ht="15" hidden="false" customHeight="true" outlineLevel="0" collapsed="false">
      <c r="A80" s="6"/>
    </row>
    <row r="81" customFormat="false" ht="15" hidden="false" customHeight="true" outlineLevel="0" collapsed="false">
      <c r="A81" s="6" t="s">
        <v>131</v>
      </c>
      <c r="B81" s="9" t="n">
        <v>60000</v>
      </c>
      <c r="C81" s="9" t="n">
        <v>100000</v>
      </c>
      <c r="D81" s="9" t="n">
        <v>150000</v>
      </c>
      <c r="E81" s="6" t="s">
        <v>13</v>
      </c>
      <c r="F81" s="8" t="s">
        <v>132</v>
      </c>
    </row>
    <row r="82" customFormat="false" ht="15" hidden="false" customHeight="true" outlineLevel="0" collapsed="false">
      <c r="A82" s="6" t="s">
        <v>133</v>
      </c>
      <c r="B82" s="9" t="n">
        <v>0</v>
      </c>
      <c r="C82" s="9" t="n">
        <v>50000</v>
      </c>
      <c r="D82" s="9" t="n">
        <v>100000</v>
      </c>
      <c r="E82" s="6" t="s">
        <v>13</v>
      </c>
      <c r="F82" s="8" t="s">
        <v>134</v>
      </c>
    </row>
    <row r="83" customFormat="false" ht="15" hidden="false" customHeight="true" outlineLevel="0" collapsed="false">
      <c r="A83" s="6" t="s">
        <v>135</v>
      </c>
      <c r="B83" s="9" t="n">
        <v>15000</v>
      </c>
      <c r="C83" s="9" t="n">
        <v>30000</v>
      </c>
      <c r="D83" s="9" t="n">
        <v>50000</v>
      </c>
      <c r="E83" s="6" t="s">
        <v>13</v>
      </c>
      <c r="F83" s="8" t="s">
        <v>136</v>
      </c>
    </row>
    <row r="84" customFormat="false" ht="15" hidden="false" customHeight="true" outlineLevel="0" collapsed="false">
      <c r="A84" s="6" t="s">
        <v>137</v>
      </c>
      <c r="B84" s="9" t="n">
        <v>0</v>
      </c>
      <c r="C84" s="9" t="n">
        <v>25000</v>
      </c>
      <c r="D84" s="9" t="n">
        <v>50000</v>
      </c>
      <c r="E84" s="6" t="s">
        <v>13</v>
      </c>
      <c r="F84" s="8" t="s">
        <v>138</v>
      </c>
    </row>
    <row r="85" customFormat="false" ht="15" hidden="false" customHeight="true" outlineLevel="0" collapsed="false">
      <c r="A85" s="6" t="s">
        <v>139</v>
      </c>
      <c r="B85" s="10" t="n">
        <f aca="false">B87*B86</f>
        <v>20000</v>
      </c>
      <c r="C85" s="10" t="n">
        <f aca="false">C87*C86</f>
        <v>37500</v>
      </c>
      <c r="D85" s="10" t="n">
        <f aca="false">D87*D86</f>
        <v>60000</v>
      </c>
      <c r="E85" s="6" t="s">
        <v>13</v>
      </c>
      <c r="F85" s="8"/>
    </row>
    <row r="86" customFormat="false" ht="15" hidden="false" customHeight="true" outlineLevel="0" collapsed="false">
      <c r="A86" s="6" t="s">
        <v>140</v>
      </c>
      <c r="B86" s="9" t="n">
        <v>5000</v>
      </c>
      <c r="C86" s="9" t="n">
        <v>7500</v>
      </c>
      <c r="D86" s="9" t="n">
        <v>10000</v>
      </c>
      <c r="E86" s="6" t="s">
        <v>13</v>
      </c>
      <c r="F86" s="8" t="s">
        <v>141</v>
      </c>
    </row>
    <row r="87" customFormat="false" ht="15" hidden="false" customHeight="true" outlineLevel="0" collapsed="false">
      <c r="A87" s="6" t="s">
        <v>142</v>
      </c>
      <c r="B87" s="7" t="n">
        <v>4</v>
      </c>
      <c r="C87" s="7" t="n">
        <v>5</v>
      </c>
      <c r="D87" s="7" t="n">
        <v>6</v>
      </c>
      <c r="E87" s="6" t="s">
        <v>31</v>
      </c>
      <c r="F87" s="8"/>
    </row>
    <row r="88" customFormat="false" ht="15" hidden="false" customHeight="true" outlineLevel="0" collapsed="false">
      <c r="A88" s="6" t="s">
        <v>143</v>
      </c>
      <c r="B88" s="9" t="n">
        <v>50000</v>
      </c>
      <c r="C88" s="9" t="n">
        <v>75000</v>
      </c>
      <c r="D88" s="9" t="n">
        <v>100000</v>
      </c>
      <c r="E88" s="6" t="s">
        <v>13</v>
      </c>
      <c r="F88" s="8" t="s">
        <v>144</v>
      </c>
    </row>
    <row r="89" customFormat="false" ht="15" hidden="false" customHeight="true" outlineLevel="0" collapsed="false">
      <c r="A89" s="6" t="s">
        <v>145</v>
      </c>
      <c r="B89" s="9" t="n">
        <v>10000</v>
      </c>
      <c r="C89" s="9" t="n">
        <v>25000</v>
      </c>
      <c r="D89" s="9" t="n">
        <v>50000</v>
      </c>
      <c r="E89" s="6" t="s">
        <v>13</v>
      </c>
      <c r="F89" s="8" t="s">
        <v>146</v>
      </c>
    </row>
    <row r="90" customFormat="false" ht="15" hidden="false" customHeight="true" outlineLevel="0" collapsed="false">
      <c r="A90" s="6"/>
    </row>
    <row r="91" customFormat="false" ht="15" hidden="false" customHeight="true" outlineLevel="0" collapsed="false">
      <c r="A91" s="12" t="s">
        <v>147</v>
      </c>
      <c r="B91" s="13" t="n">
        <f aca="false">B76+B81+B82+B83+B84+B85+B88+B89</f>
        <v>405000</v>
      </c>
      <c r="C91" s="13" t="n">
        <f aca="false">C76+C81+C82+C83+C84+C85+C88+C89</f>
        <v>542500</v>
      </c>
      <c r="D91" s="13" t="n">
        <f aca="false">D76+D81+D82+D83+D84+D85+D88+D89</f>
        <v>710000</v>
      </c>
      <c r="E91" s="12" t="s">
        <v>13</v>
      </c>
      <c r="F91" s="12"/>
    </row>
    <row r="92" customFormat="false" ht="15" hidden="false" customHeight="true" outlineLevel="0" collapsed="false">
      <c r="A92" s="12" t="s">
        <v>148</v>
      </c>
      <c r="B92" s="13" t="n">
        <f aca="false">B91-B66</f>
        <v>20000</v>
      </c>
      <c r="C92" s="13" t="n">
        <f aca="false">C91-C66</f>
        <v>230500</v>
      </c>
      <c r="D92" s="13" t="n">
        <f aca="false">D91-D66</f>
        <v>470000</v>
      </c>
      <c r="E92" s="12" t="s">
        <v>13</v>
      </c>
      <c r="F92" s="12" t="s">
        <v>149</v>
      </c>
    </row>
    <row r="93" customFormat="false" ht="15" hidden="false" customHeight="true" outlineLevel="0" collapsed="false">
      <c r="A93" s="12" t="s">
        <v>150</v>
      </c>
      <c r="B93" s="13" t="n">
        <f aca="false">B91-B73</f>
        <v>-290000</v>
      </c>
      <c r="C93" s="13" t="n">
        <f aca="false">C91-C73</f>
        <v>-19500</v>
      </c>
      <c r="D93" s="13" t="n">
        <f aca="false">D91-D73</f>
        <v>280000</v>
      </c>
      <c r="E93" s="12" t="s">
        <v>13</v>
      </c>
      <c r="F93" s="12" t="s">
        <v>151</v>
      </c>
    </row>
    <row r="94" customFormat="false" ht="15" hidden="false" customHeight="true" outlineLevel="0" collapsed="false">
      <c r="A94" s="6"/>
    </row>
    <row r="95" customFormat="false" ht="15" hidden="false" customHeight="true" outlineLevel="0" collapsed="false">
      <c r="A95" s="5" t="s">
        <v>152</v>
      </c>
      <c r="B95" s="5"/>
      <c r="C95" s="5"/>
      <c r="D95" s="5"/>
      <c r="E95" s="5"/>
      <c r="F95" s="5"/>
    </row>
    <row r="96" customFormat="false" ht="15" hidden="false" customHeight="true" outlineLevel="0" collapsed="false">
      <c r="A96" s="6" t="s">
        <v>153</v>
      </c>
      <c r="B96" s="10" t="n">
        <f aca="false">B79</f>
        <v>20919.8325087333</v>
      </c>
      <c r="C96" s="10" t="n">
        <f aca="false">C79</f>
        <v>13487.8056077389</v>
      </c>
      <c r="D96" s="10" t="n">
        <f aca="false">D79</f>
        <v>8155.69974111353</v>
      </c>
      <c r="E96" s="6" t="s">
        <v>64</v>
      </c>
      <c r="F96" s="8"/>
    </row>
    <row r="97" customFormat="false" ht="15" hidden="false" customHeight="true" outlineLevel="0" collapsed="false">
      <c r="A97" s="6" t="s">
        <v>154</v>
      </c>
      <c r="B97" s="10" t="n">
        <f aca="false">B88*0.04</f>
        <v>2000</v>
      </c>
      <c r="C97" s="10" t="n">
        <f aca="false">C88*0.04</f>
        <v>3000</v>
      </c>
      <c r="D97" s="10" t="n">
        <f aca="false">D88*0.04</f>
        <v>4000</v>
      </c>
      <c r="E97" s="6" t="s">
        <v>64</v>
      </c>
      <c r="F97" s="8" t="s">
        <v>155</v>
      </c>
    </row>
    <row r="98" customFormat="false" ht="15" hidden="false" customHeight="true" outlineLevel="0" collapsed="false">
      <c r="A98" s="12" t="s">
        <v>156</v>
      </c>
      <c r="B98" s="13" t="n">
        <f aca="false">B96+B97</f>
        <v>22919.8325087333</v>
      </c>
      <c r="C98" s="13" t="n">
        <f aca="false">C96+C97</f>
        <v>16487.8056077389</v>
      </c>
      <c r="D98" s="13" t="n">
        <f aca="false">D96+D97</f>
        <v>12155.6997411135</v>
      </c>
      <c r="E98" s="12" t="s">
        <v>64</v>
      </c>
      <c r="F98" s="12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C0D"/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  <col collapsed="false" customWidth="true" hidden="false" outlineLevel="0" max="5" min="5" style="1" width="14"/>
    <col collapsed="false" customWidth="true" hidden="false" outlineLevel="0" max="6" min="6" style="1" width="36"/>
  </cols>
  <sheetData>
    <row r="1" customFormat="false" ht="19.5" hidden="false" customHeight="true" outlineLevel="0" collapsed="false">
      <c r="A1" s="2" t="s">
        <v>157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18" t="s">
        <v>158</v>
      </c>
    </row>
    <row r="4" customFormat="false" ht="15" hidden="false" customHeight="true" outlineLevel="0" collapsed="false">
      <c r="A4" s="4" t="s">
        <v>159</v>
      </c>
      <c r="B4" s="4" t="s">
        <v>3</v>
      </c>
      <c r="C4" s="4" t="s">
        <v>4</v>
      </c>
      <c r="D4" s="4" t="s">
        <v>5</v>
      </c>
      <c r="E4" s="4" t="s">
        <v>160</v>
      </c>
      <c r="F4" s="4" t="s">
        <v>161</v>
      </c>
    </row>
    <row r="5" customFormat="false" ht="15" hidden="false" customHeight="true" outlineLevel="0" collapsed="false">
      <c r="A5" s="5" t="s">
        <v>162</v>
      </c>
      <c r="B5" s="5"/>
      <c r="C5" s="5"/>
      <c r="D5" s="5"/>
      <c r="E5" s="5"/>
      <c r="F5" s="5"/>
    </row>
    <row r="6" customFormat="false" ht="15" hidden="false" customHeight="true" outlineLevel="0" collapsed="false">
      <c r="A6" s="19" t="s">
        <v>163</v>
      </c>
      <c r="B6" s="20" t="n">
        <f aca="false">Assumptions!B76</f>
        <v>250000</v>
      </c>
      <c r="C6" s="20" t="n">
        <f aca="false">Assumptions!C76</f>
        <v>200000</v>
      </c>
      <c r="D6" s="20" t="n">
        <f aca="false">Assumptions!D76</f>
        <v>150000</v>
      </c>
      <c r="E6" s="21" t="s">
        <v>164</v>
      </c>
      <c r="F6" s="8" t="s">
        <v>165</v>
      </c>
    </row>
    <row r="7" customFormat="false" ht="15" hidden="false" customHeight="true" outlineLevel="0" collapsed="false">
      <c r="A7" s="6" t="s">
        <v>166</v>
      </c>
      <c r="B7" s="20" t="n">
        <f aca="false">Assumptions!B79</f>
        <v>20919.8325087333</v>
      </c>
      <c r="C7" s="20" t="n">
        <f aca="false">Assumptions!C79</f>
        <v>13487.8056077389</v>
      </c>
      <c r="D7" s="20" t="n">
        <f aca="false">Assumptions!D79</f>
        <v>8155.69974111353</v>
      </c>
      <c r="E7" s="21"/>
      <c r="F7" s="8" t="s">
        <v>167</v>
      </c>
    </row>
    <row r="8" customFormat="false" ht="15" hidden="false" customHeight="true" outlineLevel="0" collapsed="false">
      <c r="A8" s="19" t="s">
        <v>168</v>
      </c>
      <c r="B8" s="20" t="n">
        <f aca="false">Assumptions!B88</f>
        <v>50000</v>
      </c>
      <c r="C8" s="20" t="n">
        <f aca="false">Assumptions!C88</f>
        <v>75000</v>
      </c>
      <c r="D8" s="20" t="n">
        <f aca="false">Assumptions!D88</f>
        <v>100000</v>
      </c>
      <c r="E8" s="21" t="s">
        <v>169</v>
      </c>
      <c r="F8" s="8" t="s">
        <v>170</v>
      </c>
    </row>
    <row r="9" customFormat="false" ht="15" hidden="false" customHeight="true" outlineLevel="0" collapsed="false">
      <c r="A9" s="6" t="s">
        <v>171</v>
      </c>
      <c r="B9" s="20" t="n">
        <f aca="false">Assumptions!B97</f>
        <v>2000</v>
      </c>
      <c r="C9" s="20" t="n">
        <f aca="false">Assumptions!C97</f>
        <v>3000</v>
      </c>
      <c r="D9" s="20" t="n">
        <f aca="false">Assumptions!D97</f>
        <v>4000</v>
      </c>
      <c r="E9" s="21"/>
      <c r="F9" s="8" t="s">
        <v>172</v>
      </c>
    </row>
    <row r="10" customFormat="false" ht="15" hidden="false" customHeight="true" outlineLevel="0" collapsed="false">
      <c r="A10" s="12" t="s">
        <v>173</v>
      </c>
      <c r="B10" s="13" t="n">
        <f aca="false">B6+B8</f>
        <v>300000</v>
      </c>
      <c r="C10" s="13" t="n">
        <f aca="false">C6+C8</f>
        <v>275000</v>
      </c>
      <c r="D10" s="13" t="n">
        <f aca="false">D6+D8</f>
        <v>250000</v>
      </c>
      <c r="E10" s="22"/>
      <c r="F10" s="12"/>
    </row>
    <row r="12" customFormat="false" ht="15" hidden="false" customHeight="true" outlineLevel="0" collapsed="false">
      <c r="A12" s="5" t="s">
        <v>174</v>
      </c>
      <c r="B12" s="5"/>
      <c r="C12" s="5"/>
      <c r="D12" s="5"/>
      <c r="E12" s="5"/>
      <c r="F12" s="5"/>
    </row>
    <row r="13" customFormat="false" ht="15" hidden="false" customHeight="true" outlineLevel="0" collapsed="false">
      <c r="A13" s="6" t="s">
        <v>175</v>
      </c>
      <c r="B13" s="20" t="n">
        <f aca="false">Assumptions!B81</f>
        <v>60000</v>
      </c>
      <c r="C13" s="20" t="n">
        <f aca="false">Assumptions!C81</f>
        <v>100000</v>
      </c>
      <c r="D13" s="20" t="n">
        <f aca="false">Assumptions!D81</f>
        <v>150000</v>
      </c>
      <c r="E13" s="23" t="s">
        <v>176</v>
      </c>
      <c r="F13" s="8" t="s">
        <v>177</v>
      </c>
    </row>
    <row r="14" customFormat="false" ht="15" hidden="false" customHeight="true" outlineLevel="0" collapsed="false">
      <c r="A14" s="6" t="s">
        <v>178</v>
      </c>
      <c r="B14" s="20" t="n">
        <f aca="false">Assumptions!B82</f>
        <v>0</v>
      </c>
      <c r="C14" s="20" t="n">
        <f aca="false">Assumptions!C82</f>
        <v>50000</v>
      </c>
      <c r="D14" s="20" t="n">
        <f aca="false">Assumptions!D82</f>
        <v>100000</v>
      </c>
      <c r="E14" s="23" t="s">
        <v>179</v>
      </c>
      <c r="F14" s="8" t="s">
        <v>180</v>
      </c>
    </row>
    <row r="15" customFormat="false" ht="15" hidden="false" customHeight="true" outlineLevel="0" collapsed="false">
      <c r="A15" s="6" t="s">
        <v>181</v>
      </c>
      <c r="B15" s="20" t="n">
        <f aca="false">Assumptions!B83</f>
        <v>15000</v>
      </c>
      <c r="C15" s="20" t="n">
        <f aca="false">Assumptions!C83</f>
        <v>30000</v>
      </c>
      <c r="D15" s="20" t="n">
        <f aca="false">Assumptions!D83</f>
        <v>50000</v>
      </c>
      <c r="E15" s="23" t="s">
        <v>182</v>
      </c>
      <c r="F15" s="8" t="s">
        <v>183</v>
      </c>
    </row>
    <row r="16" customFormat="false" ht="15" hidden="false" customHeight="true" outlineLevel="0" collapsed="false">
      <c r="A16" s="6" t="s">
        <v>184</v>
      </c>
      <c r="B16" s="20" t="n">
        <f aca="false">Assumptions!B84</f>
        <v>0</v>
      </c>
      <c r="C16" s="20" t="n">
        <f aca="false">Assumptions!C84</f>
        <v>25000</v>
      </c>
      <c r="D16" s="20" t="n">
        <f aca="false">Assumptions!D84</f>
        <v>50000</v>
      </c>
      <c r="E16" s="23" t="s">
        <v>182</v>
      </c>
      <c r="F16" s="8" t="s">
        <v>185</v>
      </c>
    </row>
    <row r="17" customFormat="false" ht="15" hidden="false" customHeight="true" outlineLevel="0" collapsed="false">
      <c r="A17" s="12" t="s">
        <v>186</v>
      </c>
      <c r="B17" s="13" t="n">
        <f aca="false">SUM(B13:B16)</f>
        <v>75000</v>
      </c>
      <c r="C17" s="13" t="n">
        <f aca="false">SUM(C13:C16)</f>
        <v>205000</v>
      </c>
      <c r="D17" s="13" t="n">
        <f aca="false">SUM(D13:D16)</f>
        <v>350000</v>
      </c>
      <c r="E17" s="22"/>
      <c r="F17" s="12"/>
    </row>
    <row r="19" customFormat="false" ht="15" hidden="false" customHeight="true" outlineLevel="0" collapsed="false">
      <c r="A19" s="5" t="s">
        <v>187</v>
      </c>
      <c r="B19" s="5"/>
      <c r="C19" s="5"/>
      <c r="D19" s="5"/>
      <c r="E19" s="5"/>
      <c r="F19" s="5"/>
    </row>
    <row r="20" customFormat="false" ht="15" hidden="false" customHeight="true" outlineLevel="0" collapsed="false">
      <c r="A20" s="6" t="s">
        <v>188</v>
      </c>
      <c r="B20" s="20" t="n">
        <f aca="false">Assumptions!B85</f>
        <v>20000</v>
      </c>
      <c r="C20" s="20" t="n">
        <f aca="false">Assumptions!C85</f>
        <v>37500</v>
      </c>
      <c r="D20" s="20" t="n">
        <f aca="false">Assumptions!D85</f>
        <v>60000</v>
      </c>
      <c r="E20" s="24" t="s">
        <v>189</v>
      </c>
      <c r="F20" s="8" t="s">
        <v>190</v>
      </c>
    </row>
    <row r="21" customFormat="false" ht="15" hidden="false" customHeight="true" outlineLevel="0" collapsed="false">
      <c r="A21" s="6" t="s">
        <v>191</v>
      </c>
      <c r="B21" s="20" t="n">
        <f aca="false">Assumptions!B89</f>
        <v>10000</v>
      </c>
      <c r="C21" s="20" t="n">
        <f aca="false">Assumptions!C89</f>
        <v>25000</v>
      </c>
      <c r="D21" s="20" t="n">
        <f aca="false">Assumptions!D89</f>
        <v>50000</v>
      </c>
      <c r="E21" s="24" t="s">
        <v>192</v>
      </c>
      <c r="F21" s="8" t="s">
        <v>193</v>
      </c>
    </row>
    <row r="22" customFormat="false" ht="15" hidden="false" customHeight="true" outlineLevel="0" collapsed="false">
      <c r="A22" s="12" t="s">
        <v>194</v>
      </c>
      <c r="B22" s="13" t="n">
        <f aca="false">B20+B21</f>
        <v>30000</v>
      </c>
      <c r="C22" s="13" t="n">
        <f aca="false">C20+C21</f>
        <v>62500</v>
      </c>
      <c r="D22" s="13" t="n">
        <f aca="false">D20+D21</f>
        <v>110000</v>
      </c>
      <c r="E22" s="22"/>
      <c r="F22" s="12"/>
    </row>
    <row r="24" customFormat="false" ht="15" hidden="false" customHeight="true" outlineLevel="0" collapsed="false">
      <c r="A24" s="5" t="s">
        <v>195</v>
      </c>
      <c r="B24" s="5"/>
      <c r="C24" s="5"/>
      <c r="D24" s="5"/>
      <c r="E24" s="5"/>
      <c r="F24" s="5"/>
    </row>
    <row r="25" customFormat="false" ht="15" hidden="false" customHeight="true" outlineLevel="0" collapsed="false">
      <c r="A25" s="12" t="s">
        <v>196</v>
      </c>
      <c r="B25" s="13" t="n">
        <f aca="false">B10+B17+B22</f>
        <v>405000</v>
      </c>
      <c r="C25" s="13" t="n">
        <f aca="false">C10+C17+C22</f>
        <v>542500</v>
      </c>
      <c r="D25" s="13" t="n">
        <f aca="false">D10+D17+D22</f>
        <v>710000</v>
      </c>
      <c r="E25" s="12"/>
      <c r="F25" s="12" t="s">
        <v>197</v>
      </c>
    </row>
    <row r="26" customFormat="false" ht="15" hidden="false" customHeight="true" outlineLevel="0" collapsed="false">
      <c r="A26" s="19" t="s">
        <v>198</v>
      </c>
      <c r="B26" s="20" t="n">
        <f aca="false">Assumptions!B73</f>
        <v>695000</v>
      </c>
      <c r="C26" s="20" t="n">
        <f aca="false">Assumptions!C73</f>
        <v>562000</v>
      </c>
      <c r="D26" s="20" t="n">
        <f aca="false">Assumptions!D73</f>
        <v>430000</v>
      </c>
      <c r="E26" s="6"/>
      <c r="F26" s="8" t="s">
        <v>199</v>
      </c>
    </row>
    <row r="27" customFormat="false" ht="15" hidden="false" customHeight="true" outlineLevel="0" collapsed="false">
      <c r="A27" s="12" t="s">
        <v>200</v>
      </c>
      <c r="B27" s="13" t="n">
        <f aca="false">B25-B26</f>
        <v>-290000</v>
      </c>
      <c r="C27" s="13" t="n">
        <f aca="false">C25-C26</f>
        <v>-19500</v>
      </c>
      <c r="D27" s="13" t="n">
        <f aca="false">D25-D26</f>
        <v>280000</v>
      </c>
      <c r="E27" s="12"/>
      <c r="F27" s="12" t="s">
        <v>201</v>
      </c>
    </row>
    <row r="29" customFormat="false" ht="15" hidden="false" customHeight="true" outlineLevel="0" collapsed="false">
      <c r="A29" s="5" t="s">
        <v>202</v>
      </c>
      <c r="B29" s="5"/>
      <c r="C29" s="5"/>
      <c r="D29" s="5"/>
      <c r="E29" s="5"/>
      <c r="F29" s="5"/>
    </row>
    <row r="30" customFormat="false" ht="15" hidden="false" customHeight="true" outlineLevel="0" collapsed="false">
      <c r="A30" s="6" t="s">
        <v>203</v>
      </c>
      <c r="B30" s="25" t="n">
        <f aca="false">IF(B25=0,0,B10/B25)</f>
        <v>0.740740740740741</v>
      </c>
      <c r="C30" s="25" t="n">
        <f aca="false">IF(C25=0,0,C10/C25)</f>
        <v>0.506912442396313</v>
      </c>
      <c r="D30" s="25" t="n">
        <f aca="false">IF(D25=0,0,D10/D25)</f>
        <v>0.352112676056338</v>
      </c>
    </row>
    <row r="31" customFormat="false" ht="15" hidden="false" customHeight="true" outlineLevel="0" collapsed="false">
      <c r="A31" s="6" t="s">
        <v>204</v>
      </c>
      <c r="B31" s="25" t="n">
        <f aca="false">IF(B25=0,0,B17/B25)</f>
        <v>0.185185185185185</v>
      </c>
      <c r="C31" s="25" t="n">
        <f aca="false">IF(C25=0,0,C17/C25)</f>
        <v>0.377880184331797</v>
      </c>
      <c r="D31" s="25" t="n">
        <f aca="false">IF(D25=0,0,D17/D25)</f>
        <v>0.492957746478873</v>
      </c>
    </row>
    <row r="32" customFormat="false" ht="15" hidden="false" customHeight="true" outlineLevel="0" collapsed="false">
      <c r="A32" s="6" t="s">
        <v>205</v>
      </c>
      <c r="B32" s="25" t="n">
        <f aca="false">IF(B25=0,0,B22/B25)</f>
        <v>0.0740740740740741</v>
      </c>
      <c r="C32" s="25" t="n">
        <f aca="false">IF(C25=0,0,C22/C25)</f>
        <v>0.115207373271889</v>
      </c>
      <c r="D32" s="25" t="n">
        <f aca="false">IF(D25=0,0,D22/D25)</f>
        <v>0.154929577464789</v>
      </c>
    </row>
    <row r="34" customFormat="false" ht="15" hidden="false" customHeight="true" outlineLevel="0" collapsed="false">
      <c r="A34" s="5" t="s">
        <v>206</v>
      </c>
      <c r="B34" s="5"/>
      <c r="C34" s="5"/>
      <c r="D34" s="5"/>
      <c r="E34" s="5"/>
      <c r="F34" s="5"/>
    </row>
    <row r="35" customFormat="false" ht="15" hidden="false" customHeight="true" outlineLevel="0" collapsed="false">
      <c r="A35" s="6" t="s">
        <v>207</v>
      </c>
      <c r="B35" s="25" t="n">
        <f aca="false">MAX(B30:B32)</f>
        <v>0.740740740740741</v>
      </c>
      <c r="C35" s="25" t="n">
        <f aca="false">MAX(C30:C32)</f>
        <v>0.506912442396313</v>
      </c>
      <c r="D35" s="25" t="n">
        <f aca="false">MAX(D30:D32)</f>
        <v>0.492957746478873</v>
      </c>
      <c r="F35" s="8" t="s">
        <v>208</v>
      </c>
    </row>
    <row r="36" customFormat="false" ht="15" hidden="false" customHeight="true" outlineLevel="0" collapsed="false">
      <c r="A36" s="6" t="s">
        <v>209</v>
      </c>
      <c r="B36" s="25" t="n">
        <f aca="false">B30</f>
        <v>0.740740740740741</v>
      </c>
      <c r="C36" s="25" t="n">
        <f aca="false">C30</f>
        <v>0.506912442396313</v>
      </c>
      <c r="D36" s="25" t="n">
        <f aca="false">D30</f>
        <v>0.352112676056338</v>
      </c>
      <c r="F36" s="8" t="s">
        <v>210</v>
      </c>
    </row>
    <row r="37" customFormat="false" ht="15" hidden="false" customHeight="true" outlineLevel="0" collapsed="false">
      <c r="A37" s="19" t="s">
        <v>211</v>
      </c>
      <c r="B37" s="20" t="n">
        <f aca="false">Assumptions!B98</f>
        <v>22919.8325087333</v>
      </c>
      <c r="C37" s="20" t="n">
        <f aca="false">Assumptions!C98</f>
        <v>16487.8056077389</v>
      </c>
      <c r="D37" s="20" t="n">
        <f aca="false">Assumptions!D98</f>
        <v>12155.6997411135</v>
      </c>
      <c r="F37" s="8" t="s">
        <v>212</v>
      </c>
    </row>
    <row r="38" customFormat="false" ht="15" hidden="false" customHeight="true" outlineLevel="0" collapsed="false">
      <c r="A38" s="6" t="s">
        <v>213</v>
      </c>
      <c r="B38" s="25" t="n">
        <f aca="false">B31</f>
        <v>0.185185185185185</v>
      </c>
      <c r="C38" s="25" t="n">
        <f aca="false">C31</f>
        <v>0.377880184331797</v>
      </c>
      <c r="D38" s="25" t="n">
        <f aca="false">D31</f>
        <v>0.492957746478873</v>
      </c>
      <c r="F38" s="8" t="s">
        <v>214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4513"/>
    <pageSetUpPr fitToPage="false"/>
  </sheetPr>
  <dimension ref="A1:E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20"/>
    <col collapsed="false" customWidth="true" hidden="false" outlineLevel="0" max="5" min="5" style="0" width="36"/>
  </cols>
  <sheetData>
    <row r="1" customFormat="false" ht="19.7" hidden="false" customHeight="false" outlineLevel="0" collapsed="false">
      <c r="A1" s="26" t="s">
        <v>215</v>
      </c>
      <c r="B1" s="26"/>
      <c r="C1" s="26"/>
      <c r="D1" s="26"/>
      <c r="E1" s="26"/>
    </row>
    <row r="2" customFormat="false" ht="15" hidden="false" customHeight="false" outlineLevel="0" collapsed="false">
      <c r="A2" s="27" t="s">
        <v>216</v>
      </c>
      <c r="B2" s="27"/>
      <c r="C2" s="27"/>
      <c r="D2" s="27"/>
      <c r="E2" s="27"/>
    </row>
    <row r="4" customFormat="false" ht="26.85" hidden="false" customHeight="false" outlineLevel="0" collapsed="false">
      <c r="A4" s="4" t="s">
        <v>217</v>
      </c>
      <c r="B4" s="4" t="s">
        <v>218</v>
      </c>
      <c r="C4" s="4" t="s">
        <v>219</v>
      </c>
      <c r="D4" s="4" t="s">
        <v>220</v>
      </c>
      <c r="E4" s="4" t="s">
        <v>7</v>
      </c>
    </row>
    <row r="5" customFormat="false" ht="15" hidden="false" customHeight="false" outlineLevel="0" collapsed="false">
      <c r="A5" s="28" t="s">
        <v>221</v>
      </c>
      <c r="B5" s="28"/>
      <c r="C5" s="28"/>
      <c r="D5" s="28"/>
      <c r="E5" s="28"/>
    </row>
    <row r="6" customFormat="false" ht="15" hidden="false" customHeight="false" outlineLevel="0" collapsed="false">
      <c r="A6" s="29" t="s">
        <v>222</v>
      </c>
      <c r="B6" s="30" t="n">
        <v>50</v>
      </c>
      <c r="C6" s="30" t="n">
        <v>50</v>
      </c>
      <c r="E6" s="31" t="s">
        <v>223</v>
      </c>
    </row>
    <row r="7" customFormat="false" ht="15" hidden="false" customHeight="false" outlineLevel="0" collapsed="false">
      <c r="A7" s="29" t="s">
        <v>224</v>
      </c>
      <c r="B7" s="32" t="n">
        <v>4000</v>
      </c>
      <c r="C7" s="32" t="n">
        <v>5500</v>
      </c>
      <c r="D7" s="33" t="n">
        <f aca="false">B7-C7</f>
        <v>-1500</v>
      </c>
      <c r="E7" s="31" t="s">
        <v>225</v>
      </c>
    </row>
    <row r="8" customFormat="false" ht="15" hidden="false" customHeight="false" outlineLevel="0" collapsed="false">
      <c r="A8" s="29" t="s">
        <v>12</v>
      </c>
      <c r="B8" s="33" t="n">
        <f aca="false">B6*B7</f>
        <v>200000</v>
      </c>
      <c r="C8" s="33" t="n">
        <f aca="false">C6*C7</f>
        <v>275000</v>
      </c>
      <c r="E8" s="31"/>
    </row>
    <row r="9" customFormat="false" ht="15" hidden="false" customHeight="false" outlineLevel="0" collapsed="false">
      <c r="A9" s="29"/>
    </row>
    <row r="10" customFormat="false" ht="15" hidden="false" customHeight="false" outlineLevel="0" collapsed="false">
      <c r="A10" s="28" t="s">
        <v>226</v>
      </c>
      <c r="B10" s="28"/>
      <c r="C10" s="28"/>
      <c r="D10" s="28"/>
      <c r="E10" s="28"/>
    </row>
    <row r="11" customFormat="false" ht="15" hidden="false" customHeight="false" outlineLevel="0" collapsed="false">
      <c r="A11" s="29" t="s">
        <v>227</v>
      </c>
      <c r="B11" s="32" t="n">
        <v>15000</v>
      </c>
      <c r="C11" s="32" t="n">
        <v>0</v>
      </c>
      <c r="D11" s="33" t="n">
        <f aca="false">B11-C11</f>
        <v>15000</v>
      </c>
      <c r="E11" s="31" t="s">
        <v>228</v>
      </c>
    </row>
    <row r="12" customFormat="false" ht="15" hidden="false" customHeight="false" outlineLevel="0" collapsed="false">
      <c r="A12" s="29" t="s">
        <v>229</v>
      </c>
      <c r="B12" s="32" t="n">
        <v>20000</v>
      </c>
      <c r="C12" s="32" t="n">
        <v>0</v>
      </c>
      <c r="D12" s="33" t="n">
        <f aca="false">B12-C12</f>
        <v>20000</v>
      </c>
      <c r="E12" s="31" t="s">
        <v>230</v>
      </c>
    </row>
    <row r="13" customFormat="false" ht="15" hidden="false" customHeight="false" outlineLevel="0" collapsed="false">
      <c r="A13" s="29" t="s">
        <v>231</v>
      </c>
      <c r="B13" s="32" t="n">
        <v>25000</v>
      </c>
      <c r="C13" s="32" t="n">
        <v>0</v>
      </c>
      <c r="D13" s="33" t="n">
        <f aca="false">B13-C13</f>
        <v>25000</v>
      </c>
      <c r="E13" s="31" t="s">
        <v>232</v>
      </c>
    </row>
    <row r="14" customFormat="false" ht="15" hidden="false" customHeight="false" outlineLevel="0" collapsed="false">
      <c r="A14" s="29" t="s">
        <v>233</v>
      </c>
      <c r="B14" s="32" t="n">
        <v>15000</v>
      </c>
      <c r="C14" s="32" t="n">
        <v>0</v>
      </c>
      <c r="D14" s="33" t="n">
        <f aca="false">B14-C14</f>
        <v>15000</v>
      </c>
      <c r="E14" s="31" t="s">
        <v>234</v>
      </c>
    </row>
    <row r="15" customFormat="false" ht="15" hidden="false" customHeight="false" outlineLevel="0" collapsed="false">
      <c r="A15" s="29" t="s">
        <v>235</v>
      </c>
      <c r="B15" s="32" t="n">
        <v>10000</v>
      </c>
      <c r="C15" s="32" t="n">
        <v>0</v>
      </c>
      <c r="D15" s="33" t="n">
        <f aca="false">B15-C15</f>
        <v>10000</v>
      </c>
      <c r="E15" s="31" t="s">
        <v>236</v>
      </c>
    </row>
    <row r="16" customFormat="false" ht="15" hidden="false" customHeight="false" outlineLevel="0" collapsed="false">
      <c r="A16" s="29" t="s">
        <v>237</v>
      </c>
      <c r="B16" s="32" t="n">
        <v>0</v>
      </c>
      <c r="C16" s="32" t="n">
        <v>0</v>
      </c>
      <c r="D16" s="33" t="n">
        <f aca="false">B16-C16</f>
        <v>0</v>
      </c>
      <c r="E16" s="31" t="s">
        <v>238</v>
      </c>
    </row>
    <row r="17" customFormat="false" ht="15" hidden="false" customHeight="false" outlineLevel="0" collapsed="false">
      <c r="A17" s="29" t="s">
        <v>239</v>
      </c>
      <c r="B17" s="32" t="n">
        <v>0</v>
      </c>
      <c r="C17" s="32" t="n">
        <v>0</v>
      </c>
      <c r="D17" s="33" t="n">
        <f aca="false">B17-C17</f>
        <v>0</v>
      </c>
      <c r="E17" s="31" t="s">
        <v>240</v>
      </c>
    </row>
    <row r="18" customFormat="false" ht="15" hidden="false" customHeight="false" outlineLevel="0" collapsed="false">
      <c r="A18" s="34" t="s">
        <v>241</v>
      </c>
      <c r="B18" s="35" t="n">
        <f aca="false">SUM(B11:B17)</f>
        <v>85000</v>
      </c>
      <c r="C18" s="35" t="n">
        <f aca="false">SUM(C11:C17)</f>
        <v>0</v>
      </c>
      <c r="D18" s="34"/>
      <c r="E18" s="34" t="s">
        <v>242</v>
      </c>
    </row>
    <row r="19" customFormat="false" ht="15" hidden="false" customHeight="false" outlineLevel="0" collapsed="false">
      <c r="A19" s="29"/>
    </row>
    <row r="20" customFormat="false" ht="15" hidden="false" customHeight="false" outlineLevel="0" collapsed="false">
      <c r="A20" s="29" t="s">
        <v>243</v>
      </c>
      <c r="B20" s="32" t="n">
        <v>12000</v>
      </c>
      <c r="C20" s="32" t="n">
        <v>12000</v>
      </c>
      <c r="D20" s="33" t="n">
        <f aca="false">B20-C20</f>
        <v>0</v>
      </c>
      <c r="E20" s="31" t="s">
        <v>244</v>
      </c>
    </row>
    <row r="21" customFormat="false" ht="15" hidden="false" customHeight="false" outlineLevel="0" collapsed="false">
      <c r="A21" s="29"/>
    </row>
    <row r="22" customFormat="false" ht="15" hidden="false" customHeight="false" outlineLevel="0" collapsed="false">
      <c r="A22" s="34" t="s">
        <v>245</v>
      </c>
      <c r="B22" s="35" t="n">
        <f aca="false">B8+B18+B20</f>
        <v>297000</v>
      </c>
      <c r="C22" s="35" t="n">
        <f aca="false">C8+C18+C20</f>
        <v>287000</v>
      </c>
      <c r="D22" s="34"/>
      <c r="E22" s="34" t="s">
        <v>246</v>
      </c>
    </row>
    <row r="23" customFormat="false" ht="15" hidden="false" customHeight="false" outlineLevel="0" collapsed="false">
      <c r="A23" s="29" t="s">
        <v>247</v>
      </c>
      <c r="C23" s="33" t="n">
        <f aca="false">B22-C22</f>
        <v>10000</v>
      </c>
      <c r="D23" s="36" t="n">
        <f aca="false">B22-C22</f>
        <v>10000</v>
      </c>
      <c r="E23" s="31" t="s">
        <v>248</v>
      </c>
    </row>
    <row r="24" customFormat="false" ht="15" hidden="false" customHeight="false" outlineLevel="0" collapsed="false">
      <c r="A24" s="29"/>
    </row>
    <row r="25" customFormat="false" ht="15" hidden="false" customHeight="false" outlineLevel="0" collapsed="false">
      <c r="A25" s="28" t="s">
        <v>249</v>
      </c>
      <c r="B25" s="28"/>
      <c r="C25" s="28"/>
      <c r="D25" s="28"/>
      <c r="E25" s="28"/>
    </row>
    <row r="26" customFormat="false" ht="15" hidden="false" customHeight="false" outlineLevel="0" collapsed="false">
      <c r="A26" s="29" t="s">
        <v>250</v>
      </c>
      <c r="B26" s="32" t="n">
        <v>200000</v>
      </c>
      <c r="C26" s="32" t="n">
        <v>80000</v>
      </c>
      <c r="D26" s="33" t="n">
        <f aca="false">B26-C26</f>
        <v>120000</v>
      </c>
      <c r="E26" s="31" t="s">
        <v>251</v>
      </c>
    </row>
    <row r="27" customFormat="false" ht="15" hidden="false" customHeight="false" outlineLevel="0" collapsed="false">
      <c r="A27" s="29" t="s">
        <v>252</v>
      </c>
      <c r="B27" s="32" t="n">
        <v>50000</v>
      </c>
      <c r="C27" s="32" t="n">
        <v>20000</v>
      </c>
      <c r="D27" s="33" t="n">
        <f aca="false">B27-C27</f>
        <v>30000</v>
      </c>
      <c r="E27" s="31" t="s">
        <v>253</v>
      </c>
    </row>
    <row r="28" customFormat="false" ht="15" hidden="false" customHeight="false" outlineLevel="0" collapsed="false">
      <c r="A28" s="34" t="s">
        <v>254</v>
      </c>
      <c r="B28" s="35" t="n">
        <f aca="false">B26+B27</f>
        <v>250000</v>
      </c>
      <c r="C28" s="35" t="n">
        <f aca="false">C26+C27</f>
        <v>100000</v>
      </c>
      <c r="D28" s="34"/>
      <c r="E28" s="34"/>
    </row>
    <row r="29" customFormat="false" ht="15" hidden="false" customHeight="false" outlineLevel="0" collapsed="false">
      <c r="A29" s="29"/>
    </row>
    <row r="30" customFormat="false" ht="15" hidden="false" customHeight="false" outlineLevel="0" collapsed="false">
      <c r="A30" s="34" t="s">
        <v>255</v>
      </c>
      <c r="B30" s="35" t="n">
        <f aca="false">B22+B28</f>
        <v>547000</v>
      </c>
      <c r="C30" s="35" t="n">
        <f aca="false">C22+C28</f>
        <v>387000</v>
      </c>
      <c r="D30" s="34"/>
      <c r="E30" s="34"/>
    </row>
    <row r="31" customFormat="false" ht="15" hidden="false" customHeight="false" outlineLevel="0" collapsed="false">
      <c r="A31" s="34" t="s">
        <v>256</v>
      </c>
      <c r="B31" s="34"/>
      <c r="C31" s="35" t="n">
        <f aca="false">B30-C30</f>
        <v>160000</v>
      </c>
      <c r="D31" s="35" t="n">
        <f aca="false">B30-C30</f>
        <v>160000</v>
      </c>
      <c r="E31" s="34" t="s">
        <v>257</v>
      </c>
    </row>
    <row r="32" customFormat="false" ht="15" hidden="false" customHeight="false" outlineLevel="0" collapsed="false">
      <c r="A32" s="29" t="s">
        <v>258</v>
      </c>
      <c r="C32" s="29" t="n">
        <f aca="false">IF(B30=0,0,D31/B30)</f>
        <v>0.292504570383912</v>
      </c>
      <c r="D32" s="37" t="n">
        <f aca="false">IF(B30=0,0,D31/B30)</f>
        <v>0.292504570383912</v>
      </c>
      <c r="E32" s="31"/>
    </row>
    <row r="34" customFormat="false" ht="15" hidden="false" customHeight="false" outlineLevel="0" collapsed="false">
      <c r="A34" s="28" t="s">
        <v>259</v>
      </c>
      <c r="B34" s="28"/>
      <c r="C34" s="28"/>
      <c r="D34" s="28"/>
      <c r="E34" s="28"/>
    </row>
    <row r="36" customFormat="false" ht="15" hidden="false" customHeight="false" outlineLevel="0" collapsed="false">
      <c r="A36" s="4" t="s">
        <v>260</v>
      </c>
      <c r="B36" s="4" t="s">
        <v>261</v>
      </c>
      <c r="C36" s="4" t="s">
        <v>262</v>
      </c>
      <c r="D36" s="4" t="s">
        <v>263</v>
      </c>
      <c r="E36" s="4" t="s">
        <v>264</v>
      </c>
    </row>
    <row r="37" customFormat="false" ht="49.5" hidden="false" customHeight="true" outlineLevel="0" collapsed="false">
      <c r="A37" s="38" t="s">
        <v>265</v>
      </c>
      <c r="B37" s="39" t="s">
        <v>266</v>
      </c>
      <c r="C37" s="40" t="n">
        <f aca="false">C8</f>
        <v>275000</v>
      </c>
      <c r="D37" s="39" t="s">
        <v>267</v>
      </c>
      <c r="E37" s="41" t="s">
        <v>268</v>
      </c>
    </row>
    <row r="38" customFormat="false" ht="49.5" hidden="false" customHeight="true" outlineLevel="0" collapsed="false">
      <c r="A38" s="38" t="s">
        <v>269</v>
      </c>
      <c r="B38" s="39" t="s">
        <v>270</v>
      </c>
      <c r="C38" s="40" t="n">
        <f aca="false">C8*0.7</f>
        <v>192500</v>
      </c>
      <c r="D38" s="39" t="s">
        <v>271</v>
      </c>
      <c r="E38" s="41" t="s">
        <v>272</v>
      </c>
    </row>
    <row r="39" customFormat="false" ht="49.5" hidden="false" customHeight="true" outlineLevel="0" collapsed="false">
      <c r="A39" s="38" t="s">
        <v>273</v>
      </c>
      <c r="B39" s="39" t="s">
        <v>274</v>
      </c>
      <c r="C39" s="42" t="n">
        <v>0</v>
      </c>
      <c r="D39" s="39" t="s">
        <v>275</v>
      </c>
      <c r="E39" s="41" t="s">
        <v>276</v>
      </c>
    </row>
    <row r="40" customFormat="false" ht="49.5" hidden="false" customHeight="true" outlineLevel="0" collapsed="false">
      <c r="A40" s="38" t="s">
        <v>277</v>
      </c>
      <c r="B40" s="39" t="s">
        <v>278</v>
      </c>
      <c r="C40" s="40" t="n">
        <f aca="false">C8*0.65</f>
        <v>178750</v>
      </c>
      <c r="D40" s="39" t="s">
        <v>279</v>
      </c>
      <c r="E40" s="41" t="s">
        <v>280</v>
      </c>
    </row>
    <row r="41" customFormat="false" ht="49.5" hidden="false" customHeight="true" outlineLevel="0" collapsed="false">
      <c r="A41" s="38" t="s">
        <v>281</v>
      </c>
      <c r="B41" s="39" t="s">
        <v>282</v>
      </c>
      <c r="C41" s="40" t="n">
        <f aca="false">C8</f>
        <v>275000</v>
      </c>
      <c r="D41" s="39" t="s">
        <v>283</v>
      </c>
      <c r="E41" s="41" t="s">
        <v>284</v>
      </c>
    </row>
    <row r="42" customFormat="false" ht="49.5" hidden="false" customHeight="true" outlineLevel="0" collapsed="false">
      <c r="A42" s="38" t="s">
        <v>285</v>
      </c>
      <c r="B42" s="39" t="s">
        <v>286</v>
      </c>
      <c r="C42" s="43" t="s">
        <v>287</v>
      </c>
      <c r="D42" s="39" t="s">
        <v>288</v>
      </c>
      <c r="E42" s="41" t="s">
        <v>289</v>
      </c>
    </row>
    <row r="44" customFormat="false" ht="15" hidden="false" customHeight="false" outlineLevel="0" collapsed="false">
      <c r="A44" s="28" t="s">
        <v>290</v>
      </c>
      <c r="B44" s="28"/>
      <c r="C44" s="28"/>
      <c r="D44" s="28"/>
      <c r="E44" s="28"/>
    </row>
    <row r="46" customFormat="false" ht="15" hidden="false" customHeight="false" outlineLevel="0" collapsed="false">
      <c r="A46" s="4" t="s">
        <v>291</v>
      </c>
      <c r="B46" s="4" t="s">
        <v>292</v>
      </c>
      <c r="C46" s="4" t="s">
        <v>293</v>
      </c>
      <c r="D46" s="4" t="s">
        <v>294</v>
      </c>
    </row>
    <row r="47" customFormat="false" ht="42" hidden="false" customHeight="true" outlineLevel="0" collapsed="false">
      <c r="A47" s="38" t="s">
        <v>295</v>
      </c>
      <c r="B47" s="39" t="s">
        <v>296</v>
      </c>
      <c r="C47" s="39" t="s">
        <v>297</v>
      </c>
      <c r="D47" s="44" t="s">
        <v>298</v>
      </c>
    </row>
    <row r="48" customFormat="false" ht="42" hidden="false" customHeight="true" outlineLevel="0" collapsed="false">
      <c r="A48" s="38" t="s">
        <v>299</v>
      </c>
      <c r="B48" s="39" t="s">
        <v>300</v>
      </c>
      <c r="C48" s="39" t="s">
        <v>301</v>
      </c>
      <c r="D48" s="44" t="s">
        <v>302</v>
      </c>
    </row>
    <row r="49" customFormat="false" ht="42" hidden="false" customHeight="true" outlineLevel="0" collapsed="false">
      <c r="A49" s="38" t="s">
        <v>303</v>
      </c>
      <c r="B49" s="39" t="s">
        <v>304</v>
      </c>
      <c r="C49" s="39" t="s">
        <v>305</v>
      </c>
      <c r="D49" s="44" t="s">
        <v>306</v>
      </c>
    </row>
    <row r="50" customFormat="false" ht="42" hidden="false" customHeight="true" outlineLevel="0" collapsed="false">
      <c r="A50" s="38" t="s">
        <v>307</v>
      </c>
      <c r="B50" s="39" t="s">
        <v>308</v>
      </c>
      <c r="C50" s="39" t="s">
        <v>309</v>
      </c>
      <c r="D50" s="44" t="s">
        <v>310</v>
      </c>
    </row>
    <row r="51" customFormat="false" ht="42" hidden="false" customHeight="true" outlineLevel="0" collapsed="false">
      <c r="A51" s="38" t="s">
        <v>311</v>
      </c>
      <c r="B51" s="39" t="s">
        <v>312</v>
      </c>
      <c r="C51" s="39" t="s">
        <v>313</v>
      </c>
      <c r="D51" s="44" t="s">
        <v>314</v>
      </c>
    </row>
    <row r="52" customFormat="false" ht="42" hidden="false" customHeight="true" outlineLevel="0" collapsed="false">
      <c r="A52" s="38" t="s">
        <v>315</v>
      </c>
      <c r="B52" s="39" t="s">
        <v>316</v>
      </c>
      <c r="C52" s="39" t="s">
        <v>317</v>
      </c>
      <c r="D52" s="44" t="s">
        <v>318</v>
      </c>
    </row>
    <row r="53" customFormat="false" ht="42" hidden="false" customHeight="true" outlineLevel="0" collapsed="false">
      <c r="A53" s="38" t="s">
        <v>319</v>
      </c>
      <c r="B53" s="39" t="s">
        <v>320</v>
      </c>
      <c r="C53" s="39" t="s">
        <v>321</v>
      </c>
      <c r="D53" s="44" t="s">
        <v>322</v>
      </c>
    </row>
    <row r="54" customFormat="false" ht="42" hidden="false" customHeight="true" outlineLevel="0" collapsed="false">
      <c r="A54" s="38" t="s">
        <v>323</v>
      </c>
      <c r="B54" s="39" t="s">
        <v>324</v>
      </c>
      <c r="C54" s="39" t="s">
        <v>325</v>
      </c>
      <c r="D54" s="44" t="s">
        <v>326</v>
      </c>
    </row>
    <row r="55" customFormat="false" ht="42" hidden="false" customHeight="true" outlineLevel="0" collapsed="false">
      <c r="A55" s="38" t="s">
        <v>327</v>
      </c>
      <c r="B55" s="39" t="s">
        <v>328</v>
      </c>
      <c r="C55" s="39" t="s">
        <v>329</v>
      </c>
      <c r="D55" s="44" t="s">
        <v>330</v>
      </c>
    </row>
    <row r="56" customFormat="false" ht="42" hidden="false" customHeight="true" outlineLevel="0" collapsed="false">
      <c r="A56" s="38" t="s">
        <v>331</v>
      </c>
      <c r="B56" s="39" t="s">
        <v>332</v>
      </c>
      <c r="C56" s="39" t="s">
        <v>333</v>
      </c>
      <c r="D56" s="44" t="s">
        <v>334</v>
      </c>
    </row>
    <row r="58" customFormat="false" ht="15" hidden="false" customHeight="false" outlineLevel="0" collapsed="false">
      <c r="A58" s="28" t="s">
        <v>335</v>
      </c>
      <c r="B58" s="28"/>
      <c r="C58" s="28"/>
      <c r="D58" s="28"/>
      <c r="E58" s="28"/>
    </row>
    <row r="59" customFormat="false" ht="23.85" hidden="false" customHeight="true" outlineLevel="0" collapsed="false">
      <c r="A59" s="38" t="s">
        <v>336</v>
      </c>
      <c r="B59" s="45" t="s">
        <v>337</v>
      </c>
      <c r="C59" s="45"/>
      <c r="D59" s="45"/>
      <c r="E59" s="45"/>
    </row>
    <row r="60" customFormat="false" ht="23.85" hidden="false" customHeight="true" outlineLevel="0" collapsed="false">
      <c r="A60" s="38" t="s">
        <v>338</v>
      </c>
      <c r="B60" s="45" t="s">
        <v>339</v>
      </c>
      <c r="C60" s="45"/>
      <c r="D60" s="45"/>
      <c r="E60" s="45"/>
    </row>
    <row r="61" customFormat="false" ht="15" hidden="false" customHeight="true" outlineLevel="0" collapsed="false">
      <c r="A61" s="38" t="s">
        <v>340</v>
      </c>
      <c r="B61" s="45" t="s">
        <v>341</v>
      </c>
      <c r="C61" s="45"/>
      <c r="D61" s="45"/>
      <c r="E61" s="45"/>
    </row>
    <row r="62" customFormat="false" ht="23.85" hidden="false" customHeight="true" outlineLevel="0" collapsed="false">
      <c r="A62" s="38" t="s">
        <v>342</v>
      </c>
      <c r="B62" s="45" t="s">
        <v>343</v>
      </c>
      <c r="C62" s="45"/>
      <c r="D62" s="45"/>
      <c r="E62" s="45"/>
    </row>
    <row r="63" customFormat="false" ht="15" hidden="false" customHeight="true" outlineLevel="0" collapsed="false">
      <c r="A63" s="38" t="s">
        <v>344</v>
      </c>
      <c r="B63" s="45" t="s">
        <v>345</v>
      </c>
      <c r="C63" s="45"/>
      <c r="D63" s="45"/>
      <c r="E63" s="45"/>
    </row>
  </sheetData>
  <mergeCells count="7">
    <mergeCell ref="A1:E1"/>
    <mergeCell ref="A2:E2"/>
    <mergeCell ref="B59:E59"/>
    <mergeCell ref="B60:E60"/>
    <mergeCell ref="B61:E61"/>
    <mergeCell ref="B62:E62"/>
    <mergeCell ref="B63:E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791F"/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6"/>
    <col collapsed="false" customWidth="true" hidden="false" outlineLevel="0" max="12" min="2" style="1" width="16"/>
  </cols>
  <sheetData>
    <row r="1" customFormat="false" ht="19.5" hidden="false" customHeight="true" outlineLevel="0" collapsed="false">
      <c r="A1" s="2" t="s">
        <v>346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18" t="s">
        <v>347</v>
      </c>
    </row>
    <row r="4" customFormat="false" ht="15" hidden="false" customHeight="true" outlineLevel="0" collapsed="false">
      <c r="A4" s="4"/>
      <c r="B4" s="4" t="s">
        <v>348</v>
      </c>
      <c r="C4" s="4" t="s">
        <v>349</v>
      </c>
      <c r="D4" s="4" t="s">
        <v>350</v>
      </c>
      <c r="E4" s="4" t="s">
        <v>351</v>
      </c>
      <c r="F4" s="4" t="s">
        <v>352</v>
      </c>
      <c r="G4" s="4" t="s">
        <v>353</v>
      </c>
      <c r="H4" s="4" t="s">
        <v>354</v>
      </c>
      <c r="I4" s="4" t="s">
        <v>355</v>
      </c>
      <c r="J4" s="4" t="s">
        <v>356</v>
      </c>
      <c r="K4" s="4" t="s">
        <v>357</v>
      </c>
      <c r="L4" s="4" t="s">
        <v>358</v>
      </c>
    </row>
    <row r="5" customFormat="false" ht="15" hidden="false" customHeight="true" outlineLevel="0" collapsed="false">
      <c r="A5" s="5" t="s">
        <v>359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5" hidden="false" customHeight="true" outlineLevel="0" collapsed="false">
      <c r="A6" s="19" t="s">
        <v>360</v>
      </c>
      <c r="B6" s="10" t="n">
        <f aca="false">Assumptions!B20*Assumptions!B18*(1+Assumptions!B19)^0*12</f>
        <v>21600</v>
      </c>
      <c r="C6" s="10" t="n">
        <f aca="false">Assumptions!B21*Assumptions!B18*(1+Assumptions!B19)^1*12</f>
        <v>38556</v>
      </c>
      <c r="D6" s="10" t="n">
        <f aca="false">Assumptions!B22*Assumptions!B18*(1+Assumptions!B19)^2*12</f>
        <v>50563.44</v>
      </c>
      <c r="E6" s="10" t="n">
        <f aca="false">Assumptions!B23*(1-Assumptions!B24)*Assumptions!B18*(1+Assumptions!B19)^3*12</f>
        <v>59883.96744</v>
      </c>
      <c r="F6" s="10" t="n">
        <f aca="false">Assumptions!B23*(1-Assumptions!B24)*Assumptions!B18*(1+Assumptions!B19)^4*12</f>
        <v>61081.6467888</v>
      </c>
      <c r="G6" s="10" t="n">
        <f aca="false">Assumptions!B23*(1-Assumptions!B24)*Assumptions!B18*(1+Assumptions!B19)^5*12</f>
        <v>62303.279724576</v>
      </c>
      <c r="H6" s="10" t="n">
        <f aca="false">Assumptions!B23*(1-Assumptions!B24)*Assumptions!B18*(1+Assumptions!B19)^6*12</f>
        <v>63549.3453190675</v>
      </c>
      <c r="I6" s="10" t="n">
        <f aca="false">Assumptions!B23*(1-Assumptions!B24)*Assumptions!B18*(1+Assumptions!B19)^7*12</f>
        <v>64820.3322254489</v>
      </c>
      <c r="J6" s="10" t="n">
        <f aca="false">Assumptions!B23*(1-Assumptions!B24)*Assumptions!B18*(1+Assumptions!B19)^8*12</f>
        <v>66116.7388699579</v>
      </c>
      <c r="K6" s="10" t="n">
        <f aca="false">Assumptions!B23*(1-Assumptions!B24)*Assumptions!B18*(1+Assumptions!B19)^9*12</f>
        <v>67439.073647357</v>
      </c>
      <c r="L6" s="10" t="n">
        <f aca="false">SUM(B6:K6)</f>
        <v>555913.824015207</v>
      </c>
    </row>
    <row r="7" customFormat="false" ht="15" hidden="false" customHeight="true" outlineLevel="0" collapsed="false">
      <c r="A7" s="6" t="s">
        <v>361</v>
      </c>
      <c r="B7" s="10" t="n">
        <f aca="false">(Assumptions!B27)*(Assumptions!B29*(1+Assumptions!B30)^0)</f>
        <v>12000</v>
      </c>
      <c r="C7" s="10" t="n">
        <f aca="false">(Assumptions!B27+(Assumptions!B28-Assumptions!B27)*1/4)*(Assumptions!B29*(1+Assumptions!B30)^1)</f>
        <v>16995</v>
      </c>
      <c r="D7" s="10" t="n">
        <f aca="false">(Assumptions!B27+(Assumptions!B28-Assumptions!B27)*2/4)*(Assumptions!B29*(1+Assumptions!B30)^2)</f>
        <v>22278.9</v>
      </c>
      <c r="E7" s="10" t="n">
        <f aca="false">(Assumptions!B27+(Assumptions!B28-Assumptions!B27)*3/4)*(Assumptions!B29*(1+Assumptions!B30)^3)</f>
        <v>27864.5385</v>
      </c>
      <c r="F7" s="10" t="n">
        <f aca="false">(Assumptions!B28)*(Assumptions!B29*(1+Assumptions!B30)^4)</f>
        <v>33765.2643</v>
      </c>
      <c r="G7" s="10" t="n">
        <f aca="false">(Assumptions!B28)*(Assumptions!B29*(1+Assumptions!B30)^5)</f>
        <v>34778.222229</v>
      </c>
      <c r="H7" s="10" t="n">
        <f aca="false">(Assumptions!B28)*(Assumptions!B29*(1+Assumptions!B30)^6)</f>
        <v>35821.56889587</v>
      </c>
      <c r="I7" s="10" t="n">
        <f aca="false">(Assumptions!B28)*(Assumptions!B29*(1+Assumptions!B30)^7)</f>
        <v>36896.2159627461</v>
      </c>
      <c r="J7" s="10" t="n">
        <f aca="false">(Assumptions!B28)*(Assumptions!B29*(1+Assumptions!B30)^8)</f>
        <v>38003.1024416285</v>
      </c>
      <c r="K7" s="10" t="n">
        <f aca="false">(Assumptions!B28)*(Assumptions!B29*(1+Assumptions!B30)^9)</f>
        <v>39143.1955148774</v>
      </c>
      <c r="L7" s="10" t="n">
        <f aca="false">SUM(B7:K7)</f>
        <v>297546.007844122</v>
      </c>
    </row>
    <row r="8" customFormat="false" ht="15" hidden="false" customHeight="true" outlineLevel="0" collapsed="false">
      <c r="A8" s="6" t="s">
        <v>362</v>
      </c>
      <c r="B8" s="10" t="n">
        <f aca="false">Assumptions!B31*(1+Assumptions!B32)^0*Assumptions!B33</f>
        <v>8000</v>
      </c>
      <c r="C8" s="10" t="n">
        <f aca="false">Assumptions!B31*(1+Assumptions!B32)^1*Assumptions!B33</f>
        <v>8400</v>
      </c>
      <c r="D8" s="10" t="n">
        <f aca="false">Assumptions!B31*(1+Assumptions!B32)^2*Assumptions!B33</f>
        <v>8820</v>
      </c>
      <c r="E8" s="10" t="n">
        <f aca="false">Assumptions!B31*(1+Assumptions!B32)^3*Assumptions!B33</f>
        <v>9261</v>
      </c>
      <c r="F8" s="10" t="n">
        <f aca="false">Assumptions!B31*(1+Assumptions!B32)^4*Assumptions!B33</f>
        <v>9724.05</v>
      </c>
      <c r="G8" s="10" t="n">
        <f aca="false">Assumptions!B31*(1+Assumptions!B32)^5*Assumptions!B33</f>
        <v>10210.2525</v>
      </c>
      <c r="H8" s="10" t="n">
        <f aca="false">Assumptions!B31*(1+Assumptions!B32)^6*Assumptions!B33</f>
        <v>10720.765125</v>
      </c>
      <c r="I8" s="10" t="n">
        <f aca="false">Assumptions!B31*(1+Assumptions!B32)^7*Assumptions!B33</f>
        <v>11256.80338125</v>
      </c>
      <c r="J8" s="10" t="n">
        <f aca="false">Assumptions!B31*(1+Assumptions!B32)^8*Assumptions!B33</f>
        <v>11819.6435503125</v>
      </c>
      <c r="K8" s="10" t="n">
        <f aca="false">Assumptions!B31*(1+Assumptions!B32)^9*Assumptions!B33</f>
        <v>12410.6257278281</v>
      </c>
      <c r="L8" s="10" t="n">
        <f aca="false">SUM(B8:K8)</f>
        <v>100623.140284391</v>
      </c>
    </row>
    <row r="9" customFormat="false" ht="15" hidden="false" customHeight="true" outlineLevel="0" collapsed="false">
      <c r="A9" s="6" t="s">
        <v>363</v>
      </c>
      <c r="B9" s="10" t="n">
        <f aca="false">Assumptions!B34*(1+Assumptions!B35)^0</f>
        <v>3000</v>
      </c>
      <c r="C9" s="10" t="n">
        <f aca="false">Assumptions!B34*(1+Assumptions!B35)^1</f>
        <v>3300</v>
      </c>
      <c r="D9" s="10" t="n">
        <f aca="false">Assumptions!B34*(1+Assumptions!B35)^2</f>
        <v>3630</v>
      </c>
      <c r="E9" s="10" t="n">
        <f aca="false">Assumptions!B34*(1+Assumptions!B35)^3</f>
        <v>3993</v>
      </c>
      <c r="F9" s="10" t="n">
        <f aca="false">Assumptions!B34*(1+Assumptions!B35)^4</f>
        <v>4392.3</v>
      </c>
      <c r="G9" s="10" t="n">
        <f aca="false">Assumptions!B34*(1+Assumptions!B35)^5</f>
        <v>4831.53</v>
      </c>
      <c r="H9" s="10" t="n">
        <f aca="false">Assumptions!B34*(1+Assumptions!B35)^6</f>
        <v>5314.683</v>
      </c>
      <c r="I9" s="10" t="n">
        <f aca="false">Assumptions!B34*(1+Assumptions!B35)^7</f>
        <v>5846.1513</v>
      </c>
      <c r="J9" s="10" t="n">
        <f aca="false">Assumptions!B34*(1+Assumptions!B35)^8</f>
        <v>6430.76643000001</v>
      </c>
      <c r="K9" s="10" t="n">
        <f aca="false">Assumptions!B34*(1+Assumptions!B35)^9</f>
        <v>7073.84307300001</v>
      </c>
      <c r="L9" s="10" t="n">
        <f aca="false">SUM(B9:K9)</f>
        <v>47812.273803</v>
      </c>
    </row>
    <row r="10" customFormat="false" ht="15" hidden="false" customHeight="true" outlineLevel="0" collapsed="false">
      <c r="A10" s="6" t="s">
        <v>364</v>
      </c>
      <c r="B10" s="10" t="n">
        <f aca="false">(Assumptions!B38)*Assumptions!B40*(Assumptions!B41*(1+Assumptions!B42)^0)</f>
        <v>3000</v>
      </c>
      <c r="C10" s="10" t="n">
        <f aca="false">(Assumptions!B38+(Assumptions!B39-Assumptions!B38)*1/3)*Assumptions!B40*(Assumptions!B41*(1+Assumptions!B42)^1)</f>
        <v>5100</v>
      </c>
      <c r="D10" s="10" t="n">
        <f aca="false">(Assumptions!B38+(Assumptions!B39-Assumptions!B38)*2/3)*Assumptions!B40*(Assumptions!B41*(1+Assumptions!B42)^2)</f>
        <v>7282.8</v>
      </c>
      <c r="E10" s="10" t="n">
        <f aca="false">(Assumptions!B39)*Assumptions!B40*(Assumptions!B41*(1+Assumptions!B42)^3)</f>
        <v>9550.872</v>
      </c>
      <c r="F10" s="10" t="n">
        <f aca="false">(Assumptions!B39)*Assumptions!B40*(Assumptions!B41*(1+Assumptions!B42)^4)</f>
        <v>9741.88944</v>
      </c>
      <c r="G10" s="10" t="n">
        <f aca="false">(Assumptions!B39)*Assumptions!B40*(Assumptions!B41*(1+Assumptions!B42)^5)</f>
        <v>9936.7272288</v>
      </c>
      <c r="H10" s="10" t="n">
        <f aca="false">(Assumptions!B39)*Assumptions!B40*(Assumptions!B41*(1+Assumptions!B42)^6)</f>
        <v>10135.461773376</v>
      </c>
      <c r="I10" s="10" t="n">
        <f aca="false">(Assumptions!B39)*Assumptions!B40*(Assumptions!B41*(1+Assumptions!B42)^7)</f>
        <v>10338.1710088435</v>
      </c>
      <c r="J10" s="10" t="n">
        <f aca="false">(Assumptions!B39)*Assumptions!B40*(Assumptions!B41*(1+Assumptions!B42)^8)</f>
        <v>10544.9344290204</v>
      </c>
      <c r="K10" s="10" t="n">
        <f aca="false">(Assumptions!B39)*Assumptions!B40*(Assumptions!B41*(1+Assumptions!B42)^9)</f>
        <v>10755.8331176008</v>
      </c>
      <c r="L10" s="10" t="n">
        <f aca="false">SUM(B10:K10)</f>
        <v>86386.6889976407</v>
      </c>
    </row>
    <row r="11" customFormat="false" ht="15" hidden="false" customHeight="true" outlineLevel="0" collapsed="false">
      <c r="A11" s="6" t="s">
        <v>365</v>
      </c>
      <c r="B11" s="10" t="n">
        <f aca="false">Assumptions!B43*(1+Assumptions!B44)^0</f>
        <v>1000</v>
      </c>
      <c r="C11" s="10" t="n">
        <f aca="false">Assumptions!B43*(1+Assumptions!B44)^1</f>
        <v>1100</v>
      </c>
      <c r="D11" s="10" t="n">
        <f aca="false">Assumptions!B43*(1+Assumptions!B44)^2</f>
        <v>1210</v>
      </c>
      <c r="E11" s="10" t="n">
        <f aca="false">Assumptions!B43*(1+Assumptions!B44)^3</f>
        <v>1331</v>
      </c>
      <c r="F11" s="10" t="n">
        <f aca="false">Assumptions!B43*(1+Assumptions!B44)^4</f>
        <v>1464.1</v>
      </c>
      <c r="G11" s="10" t="n">
        <f aca="false">Assumptions!B43*(1+Assumptions!B44)^5</f>
        <v>1610.51</v>
      </c>
      <c r="H11" s="10" t="n">
        <f aca="false">Assumptions!B43*(1+Assumptions!B44)^6</f>
        <v>1771.561</v>
      </c>
      <c r="I11" s="10" t="n">
        <f aca="false">Assumptions!B43*(1+Assumptions!B44)^7</f>
        <v>1948.7171</v>
      </c>
      <c r="J11" s="10" t="n">
        <f aca="false">Assumptions!B43*(1+Assumptions!B44)^8</f>
        <v>2143.58881</v>
      </c>
      <c r="K11" s="10" t="n">
        <f aca="false">Assumptions!B43*(1+Assumptions!B44)^9</f>
        <v>2357.947691</v>
      </c>
      <c r="L11" s="10" t="n">
        <f aca="false">SUM(B11:K11)</f>
        <v>15937.424601</v>
      </c>
    </row>
    <row r="12" customFormat="false" ht="15" hidden="false" customHeight="true" outlineLevel="0" collapsed="false">
      <c r="A12" s="6" t="s">
        <v>366</v>
      </c>
      <c r="B12" s="10" t="n">
        <v>0</v>
      </c>
      <c r="C12" s="10" t="n">
        <f aca="false">Assumptions!B45*Assumptions!B46*(1+Assumptions!B42)^1</f>
        <v>1632</v>
      </c>
      <c r="D12" s="10" t="n">
        <f aca="false">Assumptions!B45*Assumptions!B46*(1+Assumptions!B42)^2</f>
        <v>1664.64</v>
      </c>
      <c r="E12" s="10" t="n">
        <f aca="false">Assumptions!B45*Assumptions!B46*(1+Assumptions!B42)^3</f>
        <v>1697.9328</v>
      </c>
      <c r="F12" s="10" t="n">
        <f aca="false">Assumptions!B45*Assumptions!B46*(1+Assumptions!B42)^4</f>
        <v>1731.891456</v>
      </c>
      <c r="G12" s="10" t="n">
        <f aca="false">Assumptions!B45*Assumptions!B46*(1+Assumptions!B42)^5</f>
        <v>1766.52928512</v>
      </c>
      <c r="H12" s="10" t="n">
        <f aca="false">Assumptions!B45*Assumptions!B46*(1+Assumptions!B42)^6</f>
        <v>1801.8598708224</v>
      </c>
      <c r="I12" s="10" t="n">
        <f aca="false">Assumptions!B45*Assumptions!B46*(1+Assumptions!B42)^7</f>
        <v>1837.89706823885</v>
      </c>
      <c r="J12" s="10" t="n">
        <f aca="false">Assumptions!B45*Assumptions!B46*(1+Assumptions!B42)^8</f>
        <v>1874.65500960363</v>
      </c>
      <c r="K12" s="10" t="n">
        <f aca="false">Assumptions!B45*Assumptions!B46*(1+Assumptions!B42)^9</f>
        <v>1912.1481097957</v>
      </c>
      <c r="L12" s="10" t="n">
        <f aca="false">SUM(B12:K12)</f>
        <v>15919.5535995806</v>
      </c>
    </row>
    <row r="14" customFormat="false" ht="15" hidden="false" customHeight="true" outlineLevel="0" collapsed="false">
      <c r="A14" s="12" t="s">
        <v>367</v>
      </c>
      <c r="B14" s="13" t="n">
        <f aca="false">SUM(B6:B12)</f>
        <v>48600</v>
      </c>
      <c r="C14" s="13" t="n">
        <f aca="false">SUM(C6:C12)</f>
        <v>75083</v>
      </c>
      <c r="D14" s="13" t="n">
        <f aca="false">SUM(D6:D12)</f>
        <v>95449.78</v>
      </c>
      <c r="E14" s="13" t="n">
        <f aca="false">SUM(E6:E12)</f>
        <v>113582.31074</v>
      </c>
      <c r="F14" s="13" t="n">
        <f aca="false">SUM(F6:F12)</f>
        <v>121901.1419848</v>
      </c>
      <c r="G14" s="13" t="n">
        <f aca="false">SUM(G6:G12)</f>
        <v>125437.050967496</v>
      </c>
      <c r="H14" s="13" t="n">
        <f aca="false">SUM(H6:H12)</f>
        <v>129115.244984136</v>
      </c>
      <c r="I14" s="13" t="n">
        <f aca="false">SUM(I6:I12)</f>
        <v>132944.288046527</v>
      </c>
      <c r="J14" s="13" t="n">
        <f aca="false">SUM(J6:J12)</f>
        <v>136933.429540523</v>
      </c>
      <c r="K14" s="13" t="n">
        <f aca="false">SUM(K6:K12)</f>
        <v>141092.666881459</v>
      </c>
      <c r="L14" s="13" t="n">
        <f aca="false">SUM(L6:L12)</f>
        <v>1120138.91314494</v>
      </c>
    </row>
    <row r="16" customFormat="false" ht="15" hidden="false" customHeight="true" outlineLevel="0" collapsed="false">
      <c r="A16" s="5" t="s">
        <v>81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customFormat="false" ht="15" hidden="false" customHeight="true" outlineLevel="0" collapsed="false">
      <c r="A17" s="6" t="s">
        <v>368</v>
      </c>
      <c r="B17" s="10" t="n">
        <f aca="false">Assumptions!B49*(1+Assumptions!B59)^0</f>
        <v>4000</v>
      </c>
      <c r="C17" s="10" t="n">
        <f aca="false">Assumptions!B49*(1+Assumptions!B59)^1</f>
        <v>4120</v>
      </c>
      <c r="D17" s="10" t="n">
        <f aca="false">Assumptions!B49*(1+Assumptions!B59)^2</f>
        <v>4243.6</v>
      </c>
      <c r="E17" s="10" t="n">
        <f aca="false">Assumptions!B49*(1+Assumptions!B59)^3</f>
        <v>4370.908</v>
      </c>
      <c r="F17" s="10" t="n">
        <f aca="false">Assumptions!B49*(1+Assumptions!B59)^4</f>
        <v>4502.03524</v>
      </c>
      <c r="G17" s="10" t="n">
        <f aca="false">Assumptions!B49*(1+Assumptions!B59)^5</f>
        <v>4637.0962972</v>
      </c>
      <c r="H17" s="10" t="n">
        <f aca="false">Assumptions!B49*(1+Assumptions!B59)^6</f>
        <v>4776.209186116</v>
      </c>
      <c r="I17" s="10" t="n">
        <f aca="false">Assumptions!B49*(1+Assumptions!B59)^7</f>
        <v>4919.49546169948</v>
      </c>
      <c r="J17" s="10" t="n">
        <f aca="false">Assumptions!B49*(1+Assumptions!B59)^8</f>
        <v>5067.08032555047</v>
      </c>
      <c r="K17" s="10" t="n">
        <f aca="false">Assumptions!B49*(1+Assumptions!B59)^9</f>
        <v>5219.09273531698</v>
      </c>
      <c r="L17" s="10" t="n">
        <f aca="false">SUM(B17:K17)</f>
        <v>45855.5172458829</v>
      </c>
    </row>
    <row r="18" customFormat="false" ht="15" hidden="false" customHeight="true" outlineLevel="0" collapsed="false">
      <c r="A18" s="6" t="s">
        <v>84</v>
      </c>
      <c r="B18" s="10" t="n">
        <f aca="false">Assumptions!B50*(1+Assumptions!B59)^0</f>
        <v>8000</v>
      </c>
      <c r="C18" s="10" t="n">
        <f aca="false">Assumptions!B50*(1+Assumptions!B59)^1</f>
        <v>8240</v>
      </c>
      <c r="D18" s="10" t="n">
        <f aca="false">Assumptions!B50*(1+Assumptions!B59)^2</f>
        <v>8487.2</v>
      </c>
      <c r="E18" s="10" t="n">
        <f aca="false">Assumptions!B50*(1+Assumptions!B59)^3</f>
        <v>8741.816</v>
      </c>
      <c r="F18" s="10" t="n">
        <f aca="false">Assumptions!B50*(1+Assumptions!B59)^4</f>
        <v>9004.07048</v>
      </c>
      <c r="G18" s="10" t="n">
        <f aca="false">Assumptions!B50*(1+Assumptions!B59)^5</f>
        <v>9274.1925944</v>
      </c>
      <c r="H18" s="10" t="n">
        <f aca="false">Assumptions!B50*(1+Assumptions!B59)^6</f>
        <v>9552.418372232</v>
      </c>
      <c r="I18" s="10" t="n">
        <f aca="false">Assumptions!B50*(1+Assumptions!B59)^7</f>
        <v>9838.99092339896</v>
      </c>
      <c r="J18" s="10" t="n">
        <f aca="false">Assumptions!B50*(1+Assumptions!B59)^8</f>
        <v>10134.1606511009</v>
      </c>
      <c r="K18" s="10" t="n">
        <f aca="false">Assumptions!B50*(1+Assumptions!B59)^9</f>
        <v>10438.185470634</v>
      </c>
      <c r="L18" s="10" t="n">
        <f aca="false">SUM(B18:K18)</f>
        <v>91711.0344917659</v>
      </c>
    </row>
    <row r="19" customFormat="false" ht="15" hidden="false" customHeight="true" outlineLevel="0" collapsed="false">
      <c r="A19" s="6" t="s">
        <v>369</v>
      </c>
      <c r="B19" s="10" t="n">
        <f aca="false">Assumptions!B51*(1+Assumptions!B59)^0</f>
        <v>6000</v>
      </c>
      <c r="C19" s="10" t="n">
        <f aca="false">Assumptions!B51*(1+Assumptions!B59)^1</f>
        <v>6180</v>
      </c>
      <c r="D19" s="10" t="n">
        <f aca="false">Assumptions!B51*(1+Assumptions!B59)^2</f>
        <v>6365.4</v>
      </c>
      <c r="E19" s="10" t="n">
        <f aca="false">Assumptions!B51*(1+Assumptions!B59)^3</f>
        <v>6556.362</v>
      </c>
      <c r="F19" s="10" t="n">
        <f aca="false">Assumptions!B51*(1+Assumptions!B59)^4</f>
        <v>6753.05286</v>
      </c>
      <c r="G19" s="10" t="n">
        <f aca="false">Assumptions!B51*(1+Assumptions!B59)^5</f>
        <v>6955.6444458</v>
      </c>
      <c r="H19" s="10" t="n">
        <f aca="false">Assumptions!B51*(1+Assumptions!B59)^6</f>
        <v>7164.313779174</v>
      </c>
      <c r="I19" s="10" t="n">
        <f aca="false">Assumptions!B51*(1+Assumptions!B59)^7</f>
        <v>7379.24319254922</v>
      </c>
      <c r="J19" s="10" t="n">
        <f aca="false">Assumptions!B51*(1+Assumptions!B59)^8</f>
        <v>7600.6204883257</v>
      </c>
      <c r="K19" s="10" t="n">
        <f aca="false">Assumptions!B51*(1+Assumptions!B59)^9</f>
        <v>7828.63910297547</v>
      </c>
      <c r="L19" s="10" t="n">
        <f aca="false">SUM(B19:K19)</f>
        <v>68783.2758688244</v>
      </c>
    </row>
    <row r="20" customFormat="false" ht="15" hidden="false" customHeight="true" outlineLevel="0" collapsed="false">
      <c r="A20" s="6" t="s">
        <v>370</v>
      </c>
      <c r="B20" s="10" t="n">
        <f aca="false">Assumptions!B53*(1+Assumptions!B54)^0</f>
        <v>12000</v>
      </c>
      <c r="C20" s="10" t="n">
        <f aca="false">Assumptions!B53*(1+Assumptions!B54)^1</f>
        <v>12600</v>
      </c>
      <c r="D20" s="10" t="n">
        <f aca="false">Assumptions!B53*(1+Assumptions!B54)^2</f>
        <v>13230</v>
      </c>
      <c r="E20" s="10" t="n">
        <f aca="false">Assumptions!B53*(1+Assumptions!B54)^3</f>
        <v>13891.5</v>
      </c>
      <c r="F20" s="10" t="n">
        <f aca="false">Assumptions!B53*(1+Assumptions!B54)^4</f>
        <v>14586.075</v>
      </c>
      <c r="G20" s="10" t="n">
        <f aca="false">Assumptions!B53*(1+Assumptions!B54)^5</f>
        <v>15315.37875</v>
      </c>
      <c r="H20" s="10" t="n">
        <f aca="false">Assumptions!B53*(1+Assumptions!B54)^6</f>
        <v>16081.1476875</v>
      </c>
      <c r="I20" s="10" t="n">
        <f aca="false">Assumptions!B53*(1+Assumptions!B54)^7</f>
        <v>16885.205071875</v>
      </c>
      <c r="J20" s="10" t="n">
        <f aca="false">Assumptions!B53*(1+Assumptions!B54)^8</f>
        <v>17729.4653254688</v>
      </c>
      <c r="K20" s="10" t="n">
        <f aca="false">Assumptions!B53*(1+Assumptions!B54)^9</f>
        <v>18615.9385917422</v>
      </c>
      <c r="L20" s="10" t="n">
        <f aca="false">SUM(B20:K20)</f>
        <v>150934.710426586</v>
      </c>
    </row>
    <row r="21" customFormat="false" ht="15" hidden="false" customHeight="true" outlineLevel="0" collapsed="false">
      <c r="A21" s="6" t="s">
        <v>371</v>
      </c>
      <c r="B21" s="10" t="n">
        <f aca="false">Assumptions!B55*(1+Assumptions!B59)^0</f>
        <v>8000</v>
      </c>
      <c r="C21" s="10" t="n">
        <f aca="false">Assumptions!B55*(1+Assumptions!B59)^1</f>
        <v>8240</v>
      </c>
      <c r="D21" s="10" t="n">
        <f aca="false">Assumptions!B55*(1+Assumptions!B59)^2</f>
        <v>8487.2</v>
      </c>
      <c r="E21" s="10" t="n">
        <f aca="false">Assumptions!B55*(1+Assumptions!B59)^3</f>
        <v>8741.816</v>
      </c>
      <c r="F21" s="10" t="n">
        <f aca="false">Assumptions!B55*(1+Assumptions!B59)^4</f>
        <v>9004.07048</v>
      </c>
      <c r="G21" s="10" t="n">
        <f aca="false">Assumptions!B55*(1+Assumptions!B59)^5</f>
        <v>9274.1925944</v>
      </c>
      <c r="H21" s="10" t="n">
        <f aca="false">Assumptions!B55*(1+Assumptions!B59)^6</f>
        <v>9552.418372232</v>
      </c>
      <c r="I21" s="10" t="n">
        <f aca="false">Assumptions!B55*(1+Assumptions!B59)^7</f>
        <v>9838.99092339896</v>
      </c>
      <c r="J21" s="10" t="n">
        <f aca="false">Assumptions!B55*(1+Assumptions!B59)^8</f>
        <v>10134.1606511009</v>
      </c>
      <c r="K21" s="10" t="n">
        <f aca="false">Assumptions!B55*(1+Assumptions!B59)^9</f>
        <v>10438.185470634</v>
      </c>
      <c r="L21" s="10" t="n">
        <f aca="false">SUM(B21:K21)</f>
        <v>91711.0344917659</v>
      </c>
    </row>
    <row r="22" customFormat="false" ht="15" hidden="false" customHeight="true" outlineLevel="0" collapsed="false">
      <c r="A22" s="6" t="s">
        <v>96</v>
      </c>
      <c r="B22" s="10" t="n">
        <f aca="false">Assumptions!B56*(1+Assumptions!B59)^0</f>
        <v>2000</v>
      </c>
      <c r="C22" s="10" t="n">
        <f aca="false">Assumptions!B56*(1+Assumptions!B59)^1</f>
        <v>2060</v>
      </c>
      <c r="D22" s="10" t="n">
        <f aca="false">Assumptions!B56*(1+Assumptions!B59)^2</f>
        <v>2121.8</v>
      </c>
      <c r="E22" s="10" t="n">
        <f aca="false">Assumptions!B56*(1+Assumptions!B59)^3</f>
        <v>2185.454</v>
      </c>
      <c r="F22" s="10" t="n">
        <f aca="false">Assumptions!B56*(1+Assumptions!B59)^4</f>
        <v>2251.01762</v>
      </c>
      <c r="G22" s="10" t="n">
        <f aca="false">Assumptions!B56*(1+Assumptions!B59)^5</f>
        <v>2318.5481486</v>
      </c>
      <c r="H22" s="10" t="n">
        <f aca="false">Assumptions!B56*(1+Assumptions!B59)^6</f>
        <v>2388.104593058</v>
      </c>
      <c r="I22" s="10" t="n">
        <f aca="false">Assumptions!B56*(1+Assumptions!B59)^7</f>
        <v>2459.74773084974</v>
      </c>
      <c r="J22" s="10" t="n">
        <f aca="false">Assumptions!B56*(1+Assumptions!B59)^8</f>
        <v>2533.54016277523</v>
      </c>
      <c r="K22" s="10" t="n">
        <f aca="false">Assumptions!B56*(1+Assumptions!B59)^9</f>
        <v>2609.54636765849</v>
      </c>
      <c r="L22" s="10" t="n">
        <f aca="false">SUM(B22:K22)</f>
        <v>22927.7586229415</v>
      </c>
    </row>
    <row r="23" customFormat="false" ht="15" hidden="false" customHeight="true" outlineLevel="0" collapsed="false">
      <c r="A23" s="6" t="s">
        <v>372</v>
      </c>
      <c r="B23" s="10" t="n">
        <f aca="false">Assumptions!B57*(1+Assumptions!B59)^0</f>
        <v>0</v>
      </c>
      <c r="C23" s="10" t="n">
        <f aca="false">Assumptions!B57*(1+Assumptions!B59)^1</f>
        <v>0</v>
      </c>
      <c r="D23" s="10" t="n">
        <f aca="false">Assumptions!B58*(1+Assumptions!B59)^2</f>
        <v>15913.5</v>
      </c>
      <c r="E23" s="10" t="n">
        <f aca="false">Assumptions!B58*(1+Assumptions!B59)^3</f>
        <v>16390.905</v>
      </c>
      <c r="F23" s="10" t="n">
        <f aca="false">Assumptions!B58*(1+Assumptions!B59)^4</f>
        <v>16882.63215</v>
      </c>
      <c r="G23" s="10" t="n">
        <f aca="false">Assumptions!B58*(1+Assumptions!B59)^5</f>
        <v>17389.1111145</v>
      </c>
      <c r="H23" s="10" t="n">
        <f aca="false">Assumptions!B58*(1+Assumptions!B59)^6</f>
        <v>17910.784447935</v>
      </c>
      <c r="I23" s="10" t="n">
        <f aca="false">Assumptions!B58*(1+Assumptions!B59)^7</f>
        <v>18448.1079813731</v>
      </c>
      <c r="J23" s="10" t="n">
        <f aca="false">Assumptions!B58*(1+Assumptions!B59)^8</f>
        <v>19001.5512208142</v>
      </c>
      <c r="K23" s="10" t="n">
        <f aca="false">Assumptions!B58*(1+Assumptions!B59)^9</f>
        <v>19571.5977574387</v>
      </c>
      <c r="L23" s="10" t="n">
        <f aca="false">SUM(B23:K23)</f>
        <v>141508.189672061</v>
      </c>
    </row>
    <row r="24" customFormat="false" ht="15" hidden="false" customHeight="true" outlineLevel="0" collapsed="false">
      <c r="A24" s="6" t="s">
        <v>373</v>
      </c>
      <c r="B24" s="10" t="n">
        <f aca="false">B14*Assumptions!B52</f>
        <v>3888</v>
      </c>
      <c r="C24" s="10" t="n">
        <f aca="false">C14*Assumptions!B52</f>
        <v>6006.64</v>
      </c>
      <c r="D24" s="10" t="n">
        <f aca="false">D14*Assumptions!B52</f>
        <v>7635.9824</v>
      </c>
      <c r="E24" s="10" t="n">
        <f aca="false">E14*Assumptions!B52</f>
        <v>9086.5848592</v>
      </c>
      <c r="F24" s="10" t="n">
        <f aca="false">F14*Assumptions!B52</f>
        <v>9752.091358784</v>
      </c>
      <c r="G24" s="10" t="n">
        <f aca="false">G14*Assumptions!B52</f>
        <v>10034.9640773997</v>
      </c>
      <c r="H24" s="10" t="n">
        <f aca="false">H14*Assumptions!B52</f>
        <v>10329.2195987309</v>
      </c>
      <c r="I24" s="10" t="n">
        <f aca="false">I14*Assumptions!B52</f>
        <v>10635.5430437222</v>
      </c>
      <c r="J24" s="10" t="n">
        <f aca="false">J14*Assumptions!B52</f>
        <v>10954.6743632418</v>
      </c>
      <c r="K24" s="10" t="n">
        <f aca="false">K14*Assumptions!B52</f>
        <v>11287.4133505167</v>
      </c>
      <c r="L24" s="10" t="n">
        <f aca="false">SUM(B24:K24)</f>
        <v>89611.1130515953</v>
      </c>
    </row>
    <row r="26" customFormat="false" ht="15" hidden="false" customHeight="true" outlineLevel="0" collapsed="false">
      <c r="A26" s="12" t="s">
        <v>374</v>
      </c>
      <c r="B26" s="13" t="n">
        <f aca="false">SUM(B17:B24)</f>
        <v>43888</v>
      </c>
      <c r="C26" s="13" t="n">
        <f aca="false">SUM(C17:C24)</f>
        <v>47446.64</v>
      </c>
      <c r="D26" s="13" t="n">
        <f aca="false">SUM(D17:D24)</f>
        <v>66484.6824</v>
      </c>
      <c r="E26" s="13" t="n">
        <f aca="false">SUM(E17:E24)</f>
        <v>69965.3458592</v>
      </c>
      <c r="F26" s="13" t="n">
        <f aca="false">SUM(F17:F24)</f>
        <v>72735.045188784</v>
      </c>
      <c r="G26" s="13" t="n">
        <f aca="false">SUM(G17:G24)</f>
        <v>75199.1280222997</v>
      </c>
      <c r="H26" s="13" t="n">
        <f aca="false">SUM(H17:H24)</f>
        <v>77754.6160369779</v>
      </c>
      <c r="I26" s="13" t="n">
        <f aca="false">SUM(I17:I24)</f>
        <v>80405.3243288666</v>
      </c>
      <c r="J26" s="13" t="n">
        <f aca="false">SUM(J17:J24)</f>
        <v>83155.2531883781</v>
      </c>
      <c r="K26" s="13" t="n">
        <f aca="false">SUM(K17:K24)</f>
        <v>86008.5988469164</v>
      </c>
      <c r="L26" s="13" t="n">
        <f aca="false">SUM(L17:L24)</f>
        <v>703042.633871423</v>
      </c>
    </row>
    <row r="28" customFormat="false" ht="15" hidden="false" customHeight="true" outlineLevel="0" collapsed="false">
      <c r="A28" s="12" t="s">
        <v>375</v>
      </c>
      <c r="B28" s="13" t="n">
        <f aca="false">B14-B26</f>
        <v>4712</v>
      </c>
      <c r="C28" s="13" t="n">
        <f aca="false">C14-C26</f>
        <v>27636.36</v>
      </c>
      <c r="D28" s="13" t="n">
        <f aca="false">D14-D26</f>
        <v>28965.0976</v>
      </c>
      <c r="E28" s="13" t="n">
        <f aca="false">E14-E26</f>
        <v>43616.9648808</v>
      </c>
      <c r="F28" s="13" t="n">
        <f aca="false">F14-F26</f>
        <v>49166.096796016</v>
      </c>
      <c r="G28" s="13" t="n">
        <f aca="false">G14-G26</f>
        <v>50237.9229451963</v>
      </c>
      <c r="H28" s="13" t="n">
        <f aca="false">H14-H26</f>
        <v>51360.6289471581</v>
      </c>
      <c r="I28" s="13" t="n">
        <f aca="false">I14-I26</f>
        <v>52538.9637176608</v>
      </c>
      <c r="J28" s="13" t="n">
        <f aca="false">J14-J26</f>
        <v>53778.1763521448</v>
      </c>
      <c r="K28" s="13" t="n">
        <f aca="false">K14-K26</f>
        <v>55084.0680345426</v>
      </c>
      <c r="L28" s="13" t="n">
        <f aca="false">L14-L26</f>
        <v>417096.279273519</v>
      </c>
    </row>
    <row r="29" customFormat="false" ht="15" hidden="false" customHeight="true" outlineLevel="0" collapsed="false">
      <c r="A29" s="6" t="s">
        <v>376</v>
      </c>
      <c r="B29" s="25" t="n">
        <f aca="false">IF(B14=0,0,B28/B14)</f>
        <v>0.0969547325102881</v>
      </c>
      <c r="C29" s="25" t="n">
        <f aca="false">IF(C14=0,0,C28/C14)</f>
        <v>0.368077460943223</v>
      </c>
      <c r="D29" s="25" t="n">
        <f aca="false">IF(D14=0,0,D28/D14)</f>
        <v>0.303459029449832</v>
      </c>
      <c r="E29" s="25" t="n">
        <f aca="false">IF(E14=0,0,E28/E14)</f>
        <v>0.384011952183673</v>
      </c>
      <c r="F29" s="25" t="n">
        <f aca="false">IF(F14=0,0,F28/F14)</f>
        <v>0.40332761445456</v>
      </c>
      <c r="G29" s="25" t="n">
        <f aca="false">IF(G14=0,0,G28/G14)</f>
        <v>0.400503061557261</v>
      </c>
      <c r="H29" s="25" t="n">
        <f aca="false">IF(H14=0,0,H28/H14)</f>
        <v>0.397789036867557</v>
      </c>
      <c r="I29" s="25" t="n">
        <f aca="false">IF(I14=0,0,I28/I14)</f>
        <v>0.39519534452863</v>
      </c>
      <c r="J29" s="25" t="n">
        <f aca="false">IF(J14=0,0,J28/J14)</f>
        <v>0.392732268026853</v>
      </c>
      <c r="K29" s="25" t="n">
        <f aca="false">IF(K14=0,0,K28/K14)</f>
        <v>0.390410566700977</v>
      </c>
      <c r="L29" s="25" t="n">
        <f aca="false">IF(L14=0,0,L28/L14)</f>
        <v>0.372361208399112</v>
      </c>
    </row>
    <row r="31" customFormat="false" ht="15" hidden="false" customHeight="true" outlineLevel="0" collapsed="false">
      <c r="A31" s="5" t="s">
        <v>377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customFormat="false" ht="15" hidden="false" customHeight="true" outlineLevel="0" collapsed="false">
      <c r="A32" s="6" t="s">
        <v>378</v>
      </c>
      <c r="B32" s="20" t="n">
        <f aca="false">Assumptions!B98</f>
        <v>22919.8325087333</v>
      </c>
      <c r="C32" s="20" t="n">
        <f aca="false">Assumptions!B98</f>
        <v>22919.8325087333</v>
      </c>
      <c r="D32" s="20" t="n">
        <f aca="false">Assumptions!B98</f>
        <v>22919.8325087333</v>
      </c>
      <c r="E32" s="20" t="n">
        <f aca="false">Assumptions!B98</f>
        <v>22919.8325087333</v>
      </c>
      <c r="F32" s="20" t="n">
        <f aca="false">Assumptions!B98</f>
        <v>22919.8325087333</v>
      </c>
      <c r="G32" s="20" t="n">
        <f aca="false">Assumptions!B98</f>
        <v>22919.8325087333</v>
      </c>
      <c r="H32" s="20" t="n">
        <f aca="false">Assumptions!B98</f>
        <v>22919.8325087333</v>
      </c>
      <c r="I32" s="20" t="n">
        <f aca="false">Assumptions!B98</f>
        <v>22919.8325087333</v>
      </c>
      <c r="J32" s="20" t="n">
        <f aca="false">Assumptions!B98</f>
        <v>22919.8325087333</v>
      </c>
      <c r="K32" s="20" t="n">
        <f aca="false">Assumptions!B98</f>
        <v>22919.8325087333</v>
      </c>
      <c r="L32" s="10" t="n">
        <f aca="false">SUM(B32:K32)</f>
        <v>229198.325087333</v>
      </c>
    </row>
    <row r="34" customFormat="false" ht="15" hidden="false" customHeight="true" outlineLevel="0" collapsed="false">
      <c r="A34" s="12" t="s">
        <v>379</v>
      </c>
      <c r="B34" s="13" t="n">
        <f aca="false">B28-B32</f>
        <v>-18207.8325087333</v>
      </c>
      <c r="C34" s="13" t="n">
        <f aca="false">C28-C32</f>
        <v>4716.52749126671</v>
      </c>
      <c r="D34" s="13" t="n">
        <f aca="false">D28-D32</f>
        <v>6045.26509126672</v>
      </c>
      <c r="E34" s="13" t="n">
        <f aca="false">E28-E32</f>
        <v>20697.1323720667</v>
      </c>
      <c r="F34" s="13" t="n">
        <f aca="false">F28-F32</f>
        <v>26246.2642872827</v>
      </c>
      <c r="G34" s="13" t="n">
        <f aca="false">G28-G32</f>
        <v>27318.090436463</v>
      </c>
      <c r="H34" s="13" t="n">
        <f aca="false">H28-H32</f>
        <v>28440.7964384248</v>
      </c>
      <c r="I34" s="13" t="n">
        <f aca="false">I28-I32</f>
        <v>29619.1312089275</v>
      </c>
      <c r="J34" s="13" t="n">
        <f aca="false">J28-J32</f>
        <v>30858.3438434115</v>
      </c>
      <c r="K34" s="13" t="n">
        <f aca="false">K28-K32</f>
        <v>32164.2355258093</v>
      </c>
      <c r="L34" s="13" t="n">
        <f aca="false">L28-L32</f>
        <v>187897.954186186</v>
      </c>
    </row>
    <row r="35" customFormat="false" ht="15" hidden="false" customHeight="true" outlineLevel="0" collapsed="false">
      <c r="A35" s="6" t="s">
        <v>380</v>
      </c>
      <c r="B35" s="25" t="n">
        <f aca="false">IF(B14=0,0,B34/B14)</f>
        <v>-0.374646759438957</v>
      </c>
      <c r="C35" s="25" t="n">
        <f aca="false">IF(C14=0,0,C34/C14)</f>
        <v>0.0628175151667716</v>
      </c>
      <c r="D35" s="25" t="n">
        <f aca="false">IF(D14=0,0,D34/D14)</f>
        <v>0.0633345104752124</v>
      </c>
      <c r="E35" s="25" t="n">
        <f aca="false">IF(E14=0,0,E34/E14)</f>
        <v>0.182221441324999</v>
      </c>
      <c r="F35" s="25" t="n">
        <f aca="false">IF(F14=0,0,F34/F14)</f>
        <v>0.21530778022207</v>
      </c>
      <c r="G35" s="25" t="n">
        <f aca="false">IF(G14=0,0,G34/G14)</f>
        <v>0.217783264400419</v>
      </c>
      <c r="H35" s="25" t="n">
        <f aca="false">IF(H14=0,0,H34/H14)</f>
        <v>0.220274503153514</v>
      </c>
      <c r="I35" s="25" t="n">
        <f aca="false">IF(I14=0,0,I34/I14)</f>
        <v>0.222793559950176</v>
      </c>
      <c r="J35" s="25" t="n">
        <f aca="false">IF(J14=0,0,J34/J14)</f>
        <v>0.225352888238876</v>
      </c>
      <c r="K35" s="25" t="n">
        <f aca="false">IF(K14=0,0,K34/K14)</f>
        <v>0.227965324043612</v>
      </c>
      <c r="L35" s="25" t="n">
        <f aca="false">IF(L14=0,0,L34/L14)</f>
        <v>0.16774522515126</v>
      </c>
    </row>
    <row r="37" customFormat="false" ht="15" hidden="false" customHeight="true" outlineLevel="0" collapsed="false">
      <c r="A37" s="5" t="s">
        <v>381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customFormat="false" ht="15" hidden="false" customHeight="true" outlineLevel="0" collapsed="false">
      <c r="A38" s="6" t="s">
        <v>382</v>
      </c>
      <c r="B38" s="20" t="n">
        <f aca="false">Assumptions!B92</f>
        <v>20000</v>
      </c>
      <c r="C38" s="10" t="n">
        <f aca="false">B40</f>
        <v>1792.16749126671</v>
      </c>
      <c r="D38" s="10" t="n">
        <f aca="false">C40</f>
        <v>6508.69498253342</v>
      </c>
      <c r="E38" s="10" t="n">
        <f aca="false">D40</f>
        <v>12553.9600738001</v>
      </c>
      <c r="F38" s="10" t="n">
        <f aca="false">E40</f>
        <v>33251.0924458668</v>
      </c>
      <c r="G38" s="10" t="n">
        <f aca="false">F40</f>
        <v>59497.3567331496</v>
      </c>
      <c r="H38" s="10" t="n">
        <f aca="false">G40</f>
        <v>86815.4471696126</v>
      </c>
      <c r="I38" s="10" t="n">
        <f aca="false">H40</f>
        <v>115256.243608037</v>
      </c>
      <c r="J38" s="10" t="n">
        <f aca="false">I40</f>
        <v>144875.374816965</v>
      </c>
      <c r="K38" s="10" t="n">
        <f aca="false">J40</f>
        <v>175733.718660376</v>
      </c>
    </row>
    <row r="39" customFormat="false" ht="15" hidden="false" customHeight="true" outlineLevel="0" collapsed="false">
      <c r="A39" s="6" t="s">
        <v>383</v>
      </c>
      <c r="B39" s="10" t="n">
        <f aca="false">B34</f>
        <v>-18207.8325087333</v>
      </c>
      <c r="C39" s="10" t="n">
        <f aca="false">C34</f>
        <v>4716.52749126671</v>
      </c>
      <c r="D39" s="10" t="n">
        <f aca="false">D34</f>
        <v>6045.26509126672</v>
      </c>
      <c r="E39" s="10" t="n">
        <f aca="false">E34</f>
        <v>20697.1323720667</v>
      </c>
      <c r="F39" s="10" t="n">
        <f aca="false">F34</f>
        <v>26246.2642872827</v>
      </c>
      <c r="G39" s="10" t="n">
        <f aca="false">G34</f>
        <v>27318.090436463</v>
      </c>
      <c r="H39" s="10" t="n">
        <f aca="false">H34</f>
        <v>28440.7964384248</v>
      </c>
      <c r="I39" s="10" t="n">
        <f aca="false">I34</f>
        <v>29619.1312089275</v>
      </c>
      <c r="J39" s="10" t="n">
        <f aca="false">J34</f>
        <v>30858.3438434115</v>
      </c>
      <c r="K39" s="10" t="n">
        <f aca="false">K34</f>
        <v>32164.2355258093</v>
      </c>
    </row>
    <row r="40" customFormat="false" ht="15" hidden="false" customHeight="true" outlineLevel="0" collapsed="false">
      <c r="A40" s="12" t="s">
        <v>384</v>
      </c>
      <c r="B40" s="13" t="n">
        <f aca="false">B38+B39</f>
        <v>1792.16749126671</v>
      </c>
      <c r="C40" s="13" t="n">
        <f aca="false">C38+C39</f>
        <v>6508.69498253342</v>
      </c>
      <c r="D40" s="13" t="n">
        <f aca="false">D38+D39</f>
        <v>12553.9600738001</v>
      </c>
      <c r="E40" s="13" t="n">
        <f aca="false">E38+E39</f>
        <v>33251.0924458668</v>
      </c>
      <c r="F40" s="13" t="n">
        <f aca="false">F38+F39</f>
        <v>59497.3567331496</v>
      </c>
      <c r="G40" s="13" t="n">
        <f aca="false">G38+G39</f>
        <v>86815.4471696126</v>
      </c>
      <c r="H40" s="13" t="n">
        <f aca="false">H38+H39</f>
        <v>115256.243608037</v>
      </c>
      <c r="I40" s="13" t="n">
        <f aca="false">I38+I39</f>
        <v>144875.374816965</v>
      </c>
      <c r="J40" s="13" t="n">
        <f aca="false">J38+J39</f>
        <v>175733.718660376</v>
      </c>
      <c r="K40" s="13" t="n">
        <f aca="false">K38+K39</f>
        <v>207897.954186186</v>
      </c>
      <c r="L40" s="12"/>
    </row>
    <row r="42" customFormat="false" ht="15" hidden="false" customHeight="true" outlineLevel="0" collapsed="false">
      <c r="A42" s="19" t="s">
        <v>385</v>
      </c>
      <c r="B42" s="46" t="n">
        <f aca="false">IF(B32=0,0,B28/B32)</f>
        <v>0.205586144584807</v>
      </c>
      <c r="C42" s="46" t="n">
        <f aca="false">IF(C32=0,0,C28/C32)</f>
        <v>1.20578368055131</v>
      </c>
      <c r="D42" s="46" t="n">
        <f aca="false">IF(D32=0,0,D28/D32)</f>
        <v>1.26375694887662</v>
      </c>
      <c r="E42" s="46" t="n">
        <f aca="false">IF(E32=0,0,E28/E32)</f>
        <v>1.90302284557186</v>
      </c>
      <c r="F42" s="46" t="n">
        <f aca="false">IF(F32=0,0,F28/F32)</f>
        <v>2.1451333371342</v>
      </c>
      <c r="G42" s="46" t="n">
        <f aca="false">IF(G32=0,0,G28/G32)</f>
        <v>2.19189747246424</v>
      </c>
      <c r="H42" s="46" t="n">
        <f aca="false">IF(H32=0,0,H28/H32)</f>
        <v>2.24088151288138</v>
      </c>
      <c r="I42" s="46" t="n">
        <f aca="false">IF(I32=0,0,I28/I32)</f>
        <v>2.29229265517719</v>
      </c>
      <c r="J42" s="46" t="n">
        <f aca="false">IF(J32=0,0,J28/J32)</f>
        <v>2.34635991915095</v>
      </c>
      <c r="K42" s="46" t="n">
        <f aca="false">IF(K32=0,0,K28/K32)</f>
        <v>2.40333641240849</v>
      </c>
    </row>
    <row r="43" customFormat="false" ht="15" hidden="false" customHeight="true" outlineLevel="0" collapsed="false">
      <c r="A43" s="8" t="s">
        <v>386</v>
      </c>
    </row>
    <row r="45" customFormat="false" ht="15" hidden="false" customHeight="true" outlineLevel="0" collapsed="false">
      <c r="A45" s="5" t="s">
        <v>387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customFormat="false" ht="15" hidden="false" customHeight="true" outlineLevel="0" collapsed="false">
      <c r="A46" s="6" t="s">
        <v>388</v>
      </c>
      <c r="B46" s="25" t="n">
        <f aca="false">IF(F14=0,0,F6/F14)</f>
        <v>0.501075263071911</v>
      </c>
    </row>
    <row r="47" customFormat="false" ht="15" hidden="false" customHeight="true" outlineLevel="0" collapsed="false">
      <c r="A47" s="6" t="s">
        <v>389</v>
      </c>
      <c r="B47" s="25" t="n">
        <f aca="false">IF(F14=0,0,F7/F14)</f>
        <v>0.276988908801283</v>
      </c>
    </row>
    <row r="48" customFormat="false" ht="15" hidden="false" customHeight="true" outlineLevel="0" collapsed="false">
      <c r="A48" s="6" t="s">
        <v>390</v>
      </c>
      <c r="B48" s="25" t="n">
        <f aca="false">IF(F14=0,0,F8/F14)</f>
        <v>0.0797699663979564</v>
      </c>
    </row>
    <row r="49" customFormat="false" ht="15" hidden="false" customHeight="true" outlineLevel="0" collapsed="false">
      <c r="A49" s="6" t="s">
        <v>391</v>
      </c>
      <c r="B49" s="25" t="n">
        <f aca="false">IF(F14=0,0,F9/F14)</f>
        <v>0.0360316558851244</v>
      </c>
    </row>
    <row r="50" customFormat="false" ht="15" hidden="false" customHeight="true" outlineLevel="0" collapsed="false">
      <c r="A50" s="6" t="s">
        <v>392</v>
      </c>
      <c r="B50" s="25" t="n">
        <f aca="false">IF(F14=0,0,F10/F14)</f>
        <v>0.0799163098998263</v>
      </c>
    </row>
    <row r="51" customFormat="false" ht="15" hidden="false" customHeight="true" outlineLevel="0" collapsed="false">
      <c r="A51" s="6" t="s">
        <v>393</v>
      </c>
      <c r="B51" s="25" t="n">
        <f aca="false">IF(F14=0,0,F11/F14)</f>
        <v>0.0120105519617081</v>
      </c>
    </row>
    <row r="52" customFormat="false" ht="15" hidden="false" customHeight="true" outlineLevel="0" collapsed="false">
      <c r="A52" s="6" t="s">
        <v>394</v>
      </c>
      <c r="B52" s="25" t="n">
        <f aca="false">IF(F14=0,0,F12/F14)</f>
        <v>0.0142073439821913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6"/>
    <col collapsed="false" customWidth="true" hidden="false" outlineLevel="0" max="12" min="2" style="1" width="16"/>
  </cols>
  <sheetData>
    <row r="1" customFormat="false" ht="19.5" hidden="false" customHeight="true" outlineLevel="0" collapsed="false">
      <c r="A1" s="2" t="s">
        <v>395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18" t="s">
        <v>347</v>
      </c>
    </row>
    <row r="4" customFormat="false" ht="15" hidden="false" customHeight="true" outlineLevel="0" collapsed="false">
      <c r="A4" s="4"/>
      <c r="B4" s="4" t="s">
        <v>348</v>
      </c>
      <c r="C4" s="4" t="s">
        <v>349</v>
      </c>
      <c r="D4" s="4" t="s">
        <v>350</v>
      </c>
      <c r="E4" s="4" t="s">
        <v>351</v>
      </c>
      <c r="F4" s="4" t="s">
        <v>352</v>
      </c>
      <c r="G4" s="4" t="s">
        <v>353</v>
      </c>
      <c r="H4" s="4" t="s">
        <v>354</v>
      </c>
      <c r="I4" s="4" t="s">
        <v>355</v>
      </c>
      <c r="J4" s="4" t="s">
        <v>356</v>
      </c>
      <c r="K4" s="4" t="s">
        <v>357</v>
      </c>
      <c r="L4" s="4" t="s">
        <v>358</v>
      </c>
    </row>
    <row r="5" customFormat="false" ht="15" hidden="false" customHeight="true" outlineLevel="0" collapsed="false">
      <c r="A5" s="5" t="s">
        <v>359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5" hidden="false" customHeight="true" outlineLevel="0" collapsed="false">
      <c r="A6" s="19" t="s">
        <v>360</v>
      </c>
      <c r="B6" s="10" t="n">
        <f aca="false">Assumptions!C20*Assumptions!C18*(1+Assumptions!C19)^0*12</f>
        <v>30000</v>
      </c>
      <c r="C6" s="10" t="n">
        <f aca="false">Assumptions!C21*Assumptions!C18*(1+Assumptions!C19)^1*12</f>
        <v>49200</v>
      </c>
      <c r="D6" s="10" t="n">
        <f aca="false">Assumptions!C22*Assumptions!C18*(1+Assumptions!C19)^2*12</f>
        <v>63037.5</v>
      </c>
      <c r="E6" s="10" t="n">
        <f aca="false">Assumptions!C23*(1-Assumptions!C24)*Assumptions!C18*(1+Assumptions!C19)^3*12</f>
        <v>75210.04125</v>
      </c>
      <c r="F6" s="10" t="n">
        <f aca="false">Assumptions!C23*(1-Assumptions!C24)*Assumptions!C18*(1+Assumptions!C19)^4*12</f>
        <v>77090.29228125</v>
      </c>
      <c r="G6" s="10" t="n">
        <f aca="false">Assumptions!C23*(1-Assumptions!C24)*Assumptions!C18*(1+Assumptions!C19)^5*12</f>
        <v>79017.5495882812</v>
      </c>
      <c r="H6" s="10" t="n">
        <f aca="false">Assumptions!C23*(1-Assumptions!C24)*Assumptions!C18*(1+Assumptions!C19)^6*12</f>
        <v>80992.9883279882</v>
      </c>
      <c r="I6" s="10" t="n">
        <f aca="false">Assumptions!C23*(1-Assumptions!C24)*Assumptions!C18*(1+Assumptions!C19)^7*12</f>
        <v>83017.8130361879</v>
      </c>
      <c r="J6" s="10" t="n">
        <f aca="false">Assumptions!C23*(1-Assumptions!C24)*Assumptions!C18*(1+Assumptions!C19)^8*12</f>
        <v>85093.2583620926</v>
      </c>
      <c r="K6" s="10" t="n">
        <f aca="false">Assumptions!C23*(1-Assumptions!C24)*Assumptions!C18*(1+Assumptions!C19)^9*12</f>
        <v>87220.5898211449</v>
      </c>
      <c r="L6" s="10" t="n">
        <f aca="false">SUM(B6:K6)</f>
        <v>709880.032666945</v>
      </c>
    </row>
    <row r="7" customFormat="false" ht="15" hidden="false" customHeight="true" outlineLevel="0" collapsed="false">
      <c r="A7" s="6" t="s">
        <v>361</v>
      </c>
      <c r="B7" s="10" t="n">
        <f aca="false">(Assumptions!C27)*(Assumptions!C29*(1+Assumptions!C30)^0)</f>
        <v>19500</v>
      </c>
      <c r="C7" s="10" t="n">
        <f aca="false">(Assumptions!C27+(Assumptions!C28-Assumptions!C27)*1/4)*(Assumptions!C29*(1+Assumptions!C30)^1)</f>
        <v>27616.875</v>
      </c>
      <c r="D7" s="10" t="n">
        <f aca="false">(Assumptions!C27+(Assumptions!C28-Assumptions!C27)*2/4)*(Assumptions!C29*(1+Assumptions!C30)^2)</f>
        <v>36203.2125</v>
      </c>
      <c r="E7" s="10" t="n">
        <f aca="false">(Assumptions!C27+(Assumptions!C28-Assumptions!C27)*3/4)*(Assumptions!C29*(1+Assumptions!C30)^3)</f>
        <v>45279.8750625</v>
      </c>
      <c r="F7" s="10" t="n">
        <f aca="false">(Assumptions!C28)*(Assumptions!C29*(1+Assumptions!C30)^4)</f>
        <v>54868.5544875</v>
      </c>
      <c r="G7" s="10" t="n">
        <f aca="false">(Assumptions!C28)*(Assumptions!C29*(1+Assumptions!C30)^5)</f>
        <v>56514.611122125</v>
      </c>
      <c r="H7" s="10" t="n">
        <f aca="false">(Assumptions!C28)*(Assumptions!C29*(1+Assumptions!C30)^6)</f>
        <v>58210.0494557888</v>
      </c>
      <c r="I7" s="10" t="n">
        <f aca="false">(Assumptions!C28)*(Assumptions!C29*(1+Assumptions!C30)^7)</f>
        <v>59956.3509394624</v>
      </c>
      <c r="J7" s="10" t="n">
        <f aca="false">(Assumptions!C28)*(Assumptions!C29*(1+Assumptions!C30)^8)</f>
        <v>61755.0414676463</v>
      </c>
      <c r="K7" s="10" t="n">
        <f aca="false">(Assumptions!C28)*(Assumptions!C29*(1+Assumptions!C30)^9)</f>
        <v>63607.6927116757</v>
      </c>
      <c r="L7" s="10" t="n">
        <f aca="false">SUM(B7:K7)</f>
        <v>483512.262746698</v>
      </c>
    </row>
    <row r="8" customFormat="false" ht="15" hidden="false" customHeight="true" outlineLevel="0" collapsed="false">
      <c r="A8" s="6" t="s">
        <v>362</v>
      </c>
      <c r="B8" s="10" t="n">
        <f aca="false">Assumptions!C31*(1+Assumptions!C32)^0*Assumptions!C33</f>
        <v>14400</v>
      </c>
      <c r="C8" s="10" t="n">
        <f aca="false">Assumptions!C31*(1+Assumptions!C32)^1*Assumptions!C33</f>
        <v>15552</v>
      </c>
      <c r="D8" s="10" t="n">
        <f aca="false">Assumptions!C31*(1+Assumptions!C32)^2*Assumptions!C33</f>
        <v>16796.16</v>
      </c>
      <c r="E8" s="10" t="n">
        <f aca="false">Assumptions!C31*(1+Assumptions!C32)^3*Assumptions!C33</f>
        <v>18139.8528</v>
      </c>
      <c r="F8" s="10" t="n">
        <f aca="false">Assumptions!C31*(1+Assumptions!C32)^4*Assumptions!C33</f>
        <v>19591.041024</v>
      </c>
      <c r="G8" s="10" t="n">
        <f aca="false">Assumptions!C31*(1+Assumptions!C32)^5*Assumptions!C33</f>
        <v>21158.32430592</v>
      </c>
      <c r="H8" s="10" t="n">
        <f aca="false">Assumptions!C31*(1+Assumptions!C32)^6*Assumptions!C33</f>
        <v>22850.9902503936</v>
      </c>
      <c r="I8" s="10" t="n">
        <f aca="false">Assumptions!C31*(1+Assumptions!C32)^7*Assumptions!C33</f>
        <v>24679.0694704251</v>
      </c>
      <c r="J8" s="10" t="n">
        <f aca="false">Assumptions!C31*(1+Assumptions!C32)^8*Assumptions!C33</f>
        <v>26653.3950280591</v>
      </c>
      <c r="K8" s="10" t="n">
        <f aca="false">Assumptions!C31*(1+Assumptions!C32)^9*Assumptions!C33</f>
        <v>28785.6666303038</v>
      </c>
      <c r="L8" s="10" t="n">
        <f aca="false">SUM(B8:K8)</f>
        <v>208606.499509102</v>
      </c>
    </row>
    <row r="9" customFormat="false" ht="15" hidden="false" customHeight="true" outlineLevel="0" collapsed="false">
      <c r="A9" s="6" t="s">
        <v>363</v>
      </c>
      <c r="B9" s="10" t="n">
        <f aca="false">Assumptions!C34*(1+Assumptions!C35)^0</f>
        <v>5000</v>
      </c>
      <c r="C9" s="10" t="n">
        <f aca="false">Assumptions!C34*(1+Assumptions!C35)^1</f>
        <v>5750</v>
      </c>
      <c r="D9" s="10" t="n">
        <f aca="false">Assumptions!C34*(1+Assumptions!C35)^2</f>
        <v>6612.5</v>
      </c>
      <c r="E9" s="10" t="n">
        <f aca="false">Assumptions!C34*(1+Assumptions!C35)^3</f>
        <v>7604.375</v>
      </c>
      <c r="F9" s="10" t="n">
        <f aca="false">Assumptions!C34*(1+Assumptions!C35)^4</f>
        <v>8745.03125</v>
      </c>
      <c r="G9" s="10" t="n">
        <f aca="false">Assumptions!C34*(1+Assumptions!C35)^5</f>
        <v>10056.7859375</v>
      </c>
      <c r="H9" s="10" t="n">
        <f aca="false">Assumptions!C34*(1+Assumptions!C35)^6</f>
        <v>11565.303828125</v>
      </c>
      <c r="I9" s="10" t="n">
        <f aca="false">Assumptions!C34*(1+Assumptions!C35)^7</f>
        <v>13300.0994023437</v>
      </c>
      <c r="J9" s="10" t="n">
        <f aca="false">Assumptions!C34*(1+Assumptions!C35)^8</f>
        <v>15295.1143126953</v>
      </c>
      <c r="K9" s="10" t="n">
        <f aca="false">Assumptions!C34*(1+Assumptions!C35)^9</f>
        <v>17589.3814595996</v>
      </c>
      <c r="L9" s="10" t="n">
        <f aca="false">SUM(B9:K9)</f>
        <v>101518.591190264</v>
      </c>
    </row>
    <row r="10" customFormat="false" ht="15" hidden="false" customHeight="true" outlineLevel="0" collapsed="false">
      <c r="A10" s="6" t="s">
        <v>364</v>
      </c>
      <c r="B10" s="10" t="n">
        <f aca="false">(Assumptions!C38)*Assumptions!C40*(Assumptions!C41*(1+Assumptions!C42)^0)</f>
        <v>7800</v>
      </c>
      <c r="C10" s="10" t="n">
        <f aca="false">(Assumptions!C38+(Assumptions!C39-Assumptions!C38)*1/3)*Assumptions!C40*(Assumptions!C41*(1+Assumptions!C42)^1)</f>
        <v>11783.2</v>
      </c>
      <c r="D10" s="10" t="n">
        <f aca="false">(Assumptions!C38+(Assumptions!C39-Assumptions!C38)*2/3)*Assumptions!C40*(Assumptions!C41*(1+Assumptions!C42)^2)</f>
        <v>15998.372</v>
      </c>
      <c r="E10" s="10" t="n">
        <f aca="false">(Assumptions!C39)*Assumptions!C40*(Assumptions!C41*(1+Assumptions!C42)^3)</f>
        <v>20455.84944</v>
      </c>
      <c r="F10" s="10" t="n">
        <f aca="false">(Assumptions!C39)*Assumptions!C40*(Assumptions!C41*(1+Assumptions!C42)^4)</f>
        <v>21069.5249232</v>
      </c>
      <c r="G10" s="10" t="n">
        <f aca="false">(Assumptions!C39)*Assumptions!C40*(Assumptions!C41*(1+Assumptions!C42)^5)</f>
        <v>21701.610670896</v>
      </c>
      <c r="H10" s="10" t="n">
        <f aca="false">(Assumptions!C39)*Assumptions!C40*(Assumptions!C41*(1+Assumptions!C42)^6)</f>
        <v>22352.6589910229</v>
      </c>
      <c r="I10" s="10" t="n">
        <f aca="false">(Assumptions!C39)*Assumptions!C40*(Assumptions!C41*(1+Assumptions!C42)^7)</f>
        <v>23023.2387607536</v>
      </c>
      <c r="J10" s="10" t="n">
        <f aca="false">(Assumptions!C39)*Assumptions!C40*(Assumptions!C41*(1+Assumptions!C42)^8)</f>
        <v>23713.9359235762</v>
      </c>
      <c r="K10" s="10" t="n">
        <f aca="false">(Assumptions!C39)*Assumptions!C40*(Assumptions!C41*(1+Assumptions!C42)^9)</f>
        <v>24425.3540012835</v>
      </c>
      <c r="L10" s="10" t="n">
        <f aca="false">SUM(B10:K10)</f>
        <v>192323.744710732</v>
      </c>
    </row>
    <row r="11" customFormat="false" ht="15" hidden="false" customHeight="true" outlineLevel="0" collapsed="false">
      <c r="A11" s="6" t="s">
        <v>365</v>
      </c>
      <c r="B11" s="10" t="n">
        <f aca="false">Assumptions!C43*(1+Assumptions!C44)^0</f>
        <v>2000</v>
      </c>
      <c r="C11" s="10" t="n">
        <f aca="false">Assumptions!C43*(1+Assumptions!C44)^1</f>
        <v>2300</v>
      </c>
      <c r="D11" s="10" t="n">
        <f aca="false">Assumptions!C43*(1+Assumptions!C44)^2</f>
        <v>2645</v>
      </c>
      <c r="E11" s="10" t="n">
        <f aca="false">Assumptions!C43*(1+Assumptions!C44)^3</f>
        <v>3041.75</v>
      </c>
      <c r="F11" s="10" t="n">
        <f aca="false">Assumptions!C43*(1+Assumptions!C44)^4</f>
        <v>3498.0125</v>
      </c>
      <c r="G11" s="10" t="n">
        <f aca="false">Assumptions!C43*(1+Assumptions!C44)^5</f>
        <v>4022.714375</v>
      </c>
      <c r="H11" s="10" t="n">
        <f aca="false">Assumptions!C43*(1+Assumptions!C44)^6</f>
        <v>4626.12153125</v>
      </c>
      <c r="I11" s="10" t="n">
        <f aca="false">Assumptions!C43*(1+Assumptions!C44)^7</f>
        <v>5320.0397609375</v>
      </c>
      <c r="J11" s="10" t="n">
        <f aca="false">Assumptions!C43*(1+Assumptions!C44)^8</f>
        <v>6118.04572507812</v>
      </c>
      <c r="K11" s="10" t="n">
        <f aca="false">Assumptions!C43*(1+Assumptions!C44)^9</f>
        <v>7035.75258383984</v>
      </c>
      <c r="L11" s="10" t="n">
        <f aca="false">SUM(B11:K11)</f>
        <v>40607.4364761055</v>
      </c>
    </row>
    <row r="12" customFormat="false" ht="15" hidden="false" customHeight="true" outlineLevel="0" collapsed="false">
      <c r="A12" s="6" t="s">
        <v>366</v>
      </c>
      <c r="B12" s="10" t="n">
        <v>0</v>
      </c>
      <c r="C12" s="10" t="n">
        <f aca="false">Assumptions!C45*Assumptions!C46*(1+Assumptions!C42)^1</f>
        <v>3605</v>
      </c>
      <c r="D12" s="10" t="n">
        <f aca="false">Assumptions!C45*Assumptions!C46*(1+Assumptions!C42)^2</f>
        <v>3713.15</v>
      </c>
      <c r="E12" s="10" t="n">
        <f aca="false">Assumptions!C45*Assumptions!C46*(1+Assumptions!C42)^3</f>
        <v>3824.5445</v>
      </c>
      <c r="F12" s="10" t="n">
        <f aca="false">Assumptions!C45*Assumptions!C46*(1+Assumptions!C42)^4</f>
        <v>3939.280835</v>
      </c>
      <c r="G12" s="10" t="n">
        <f aca="false">Assumptions!C45*Assumptions!C46*(1+Assumptions!C42)^5</f>
        <v>4057.45926005</v>
      </c>
      <c r="H12" s="10" t="n">
        <f aca="false">Assumptions!C45*Assumptions!C46*(1+Assumptions!C42)^6</f>
        <v>4179.1830378515</v>
      </c>
      <c r="I12" s="10" t="n">
        <f aca="false">Assumptions!C45*Assumptions!C46*(1+Assumptions!C42)^7</f>
        <v>4304.55852898705</v>
      </c>
      <c r="J12" s="10" t="n">
        <f aca="false">Assumptions!C45*Assumptions!C46*(1+Assumptions!C42)^8</f>
        <v>4433.69528485666</v>
      </c>
      <c r="K12" s="10" t="n">
        <f aca="false">Assumptions!C45*Assumptions!C46*(1+Assumptions!C42)^9</f>
        <v>4566.70614340236</v>
      </c>
      <c r="L12" s="10" t="n">
        <f aca="false">SUM(B12:K12)</f>
        <v>36623.5775901476</v>
      </c>
    </row>
    <row r="14" customFormat="false" ht="15" hidden="false" customHeight="true" outlineLevel="0" collapsed="false">
      <c r="A14" s="12" t="s">
        <v>367</v>
      </c>
      <c r="B14" s="13" t="n">
        <f aca="false">SUM(B6:B12)</f>
        <v>78700</v>
      </c>
      <c r="C14" s="13" t="n">
        <f aca="false">SUM(C6:C12)</f>
        <v>115807.075</v>
      </c>
      <c r="D14" s="13" t="n">
        <f aca="false">SUM(D6:D12)</f>
        <v>145005.8945</v>
      </c>
      <c r="E14" s="13" t="n">
        <f aca="false">SUM(E6:E12)</f>
        <v>173556.2880525</v>
      </c>
      <c r="F14" s="13" t="n">
        <f aca="false">SUM(F6:F12)</f>
        <v>188801.73730095</v>
      </c>
      <c r="G14" s="13" t="n">
        <f aca="false">SUM(G6:G12)</f>
        <v>196529.055259772</v>
      </c>
      <c r="H14" s="13" t="n">
        <f aca="false">SUM(H6:H12)</f>
        <v>204777.29542242</v>
      </c>
      <c r="I14" s="13" t="n">
        <f aca="false">SUM(I6:I12)</f>
        <v>213601.169899097</v>
      </c>
      <c r="J14" s="13" t="n">
        <f aca="false">SUM(J6:J12)</f>
        <v>223062.486104004</v>
      </c>
      <c r="K14" s="13" t="n">
        <f aca="false">SUM(K6:K12)</f>
        <v>233231.14335125</v>
      </c>
      <c r="L14" s="13" t="n">
        <f aca="false">SUM(L6:L12)</f>
        <v>1773072.14488999</v>
      </c>
    </row>
    <row r="16" customFormat="false" ht="15" hidden="false" customHeight="true" outlineLevel="0" collapsed="false">
      <c r="A16" s="5" t="s">
        <v>81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customFormat="false" ht="15" hidden="false" customHeight="true" outlineLevel="0" collapsed="false">
      <c r="A17" s="6" t="s">
        <v>368</v>
      </c>
      <c r="B17" s="10" t="n">
        <f aca="false">Assumptions!C49*(1+Assumptions!C59)^0</f>
        <v>2500</v>
      </c>
      <c r="C17" s="10" t="n">
        <f aca="false">Assumptions!C49*(1+Assumptions!C59)^1</f>
        <v>2575</v>
      </c>
      <c r="D17" s="10" t="n">
        <f aca="false">Assumptions!C49*(1+Assumptions!C59)^2</f>
        <v>2652.25</v>
      </c>
      <c r="E17" s="10" t="n">
        <f aca="false">Assumptions!C49*(1+Assumptions!C59)^3</f>
        <v>2731.8175</v>
      </c>
      <c r="F17" s="10" t="n">
        <f aca="false">Assumptions!C49*(1+Assumptions!C59)^4</f>
        <v>2813.772025</v>
      </c>
      <c r="G17" s="10" t="n">
        <f aca="false">Assumptions!C49*(1+Assumptions!C59)^5</f>
        <v>2898.18518575</v>
      </c>
      <c r="H17" s="10" t="n">
        <f aca="false">Assumptions!C49*(1+Assumptions!C59)^6</f>
        <v>2985.1307413225</v>
      </c>
      <c r="I17" s="10" t="n">
        <f aca="false">Assumptions!C49*(1+Assumptions!C59)^7</f>
        <v>3074.68466356218</v>
      </c>
      <c r="J17" s="10" t="n">
        <f aca="false">Assumptions!C49*(1+Assumptions!C59)^8</f>
        <v>3166.92520346904</v>
      </c>
      <c r="K17" s="10" t="n">
        <f aca="false">Assumptions!C49*(1+Assumptions!C59)^9</f>
        <v>3261.93295957311</v>
      </c>
      <c r="L17" s="10" t="n">
        <f aca="false">SUM(B17:K17)</f>
        <v>28659.6982786768</v>
      </c>
    </row>
    <row r="18" customFormat="false" ht="15" hidden="false" customHeight="true" outlineLevel="0" collapsed="false">
      <c r="A18" s="6" t="s">
        <v>84</v>
      </c>
      <c r="B18" s="10" t="n">
        <f aca="false">Assumptions!C50*(1+Assumptions!C59)^0</f>
        <v>7000</v>
      </c>
      <c r="C18" s="10" t="n">
        <f aca="false">Assumptions!C50*(1+Assumptions!C59)^1</f>
        <v>7210</v>
      </c>
      <c r="D18" s="10" t="n">
        <f aca="false">Assumptions!C50*(1+Assumptions!C59)^2</f>
        <v>7426.3</v>
      </c>
      <c r="E18" s="10" t="n">
        <f aca="false">Assumptions!C50*(1+Assumptions!C59)^3</f>
        <v>7649.089</v>
      </c>
      <c r="F18" s="10" t="n">
        <f aca="false">Assumptions!C50*(1+Assumptions!C59)^4</f>
        <v>7878.56167</v>
      </c>
      <c r="G18" s="10" t="n">
        <f aca="false">Assumptions!C50*(1+Assumptions!C59)^5</f>
        <v>8114.9185201</v>
      </c>
      <c r="H18" s="10" t="n">
        <f aca="false">Assumptions!C50*(1+Assumptions!C59)^6</f>
        <v>8358.366075703</v>
      </c>
      <c r="I18" s="10" t="n">
        <f aca="false">Assumptions!C50*(1+Assumptions!C59)^7</f>
        <v>8609.11705797409</v>
      </c>
      <c r="J18" s="10" t="n">
        <f aca="false">Assumptions!C50*(1+Assumptions!C59)^8</f>
        <v>8867.39056971331</v>
      </c>
      <c r="K18" s="10" t="n">
        <f aca="false">Assumptions!C50*(1+Assumptions!C59)^9</f>
        <v>9133.41228680471</v>
      </c>
      <c r="L18" s="10" t="n">
        <f aca="false">SUM(B18:K18)</f>
        <v>80247.1551802951</v>
      </c>
    </row>
    <row r="19" customFormat="false" ht="15" hidden="false" customHeight="true" outlineLevel="0" collapsed="false">
      <c r="A19" s="6" t="s">
        <v>369</v>
      </c>
      <c r="B19" s="10" t="n">
        <f aca="false">Assumptions!C51*(1+Assumptions!C59)^0</f>
        <v>5000</v>
      </c>
      <c r="C19" s="10" t="n">
        <f aca="false">Assumptions!C51*(1+Assumptions!C59)^1</f>
        <v>5150</v>
      </c>
      <c r="D19" s="10" t="n">
        <f aca="false">Assumptions!C51*(1+Assumptions!C59)^2</f>
        <v>5304.5</v>
      </c>
      <c r="E19" s="10" t="n">
        <f aca="false">Assumptions!C51*(1+Assumptions!C59)^3</f>
        <v>5463.635</v>
      </c>
      <c r="F19" s="10" t="n">
        <f aca="false">Assumptions!C51*(1+Assumptions!C59)^4</f>
        <v>5627.54405</v>
      </c>
      <c r="G19" s="10" t="n">
        <f aca="false">Assumptions!C51*(1+Assumptions!C59)^5</f>
        <v>5796.3703715</v>
      </c>
      <c r="H19" s="10" t="n">
        <f aca="false">Assumptions!C51*(1+Assumptions!C59)^6</f>
        <v>5970.261482645</v>
      </c>
      <c r="I19" s="10" t="n">
        <f aca="false">Assumptions!C51*(1+Assumptions!C59)^7</f>
        <v>6149.36932712435</v>
      </c>
      <c r="J19" s="10" t="n">
        <f aca="false">Assumptions!C51*(1+Assumptions!C59)^8</f>
        <v>6333.85040693808</v>
      </c>
      <c r="K19" s="10" t="n">
        <f aca="false">Assumptions!C51*(1+Assumptions!C59)^9</f>
        <v>6523.86591914623</v>
      </c>
      <c r="L19" s="10" t="n">
        <f aca="false">SUM(B19:K19)</f>
        <v>57319.3965573537</v>
      </c>
    </row>
    <row r="20" customFormat="false" ht="15" hidden="false" customHeight="true" outlineLevel="0" collapsed="false">
      <c r="A20" s="6" t="s">
        <v>370</v>
      </c>
      <c r="B20" s="10" t="n">
        <f aca="false">Assumptions!C53*(1+Assumptions!C54)^0</f>
        <v>15000</v>
      </c>
      <c r="C20" s="10" t="n">
        <f aca="false">Assumptions!C53*(1+Assumptions!C54)^1</f>
        <v>15900</v>
      </c>
      <c r="D20" s="10" t="n">
        <f aca="false">Assumptions!C53*(1+Assumptions!C54)^2</f>
        <v>16854</v>
      </c>
      <c r="E20" s="10" t="n">
        <f aca="false">Assumptions!C53*(1+Assumptions!C54)^3</f>
        <v>17865.24</v>
      </c>
      <c r="F20" s="10" t="n">
        <f aca="false">Assumptions!C53*(1+Assumptions!C54)^4</f>
        <v>18937.1544</v>
      </c>
      <c r="G20" s="10" t="n">
        <f aca="false">Assumptions!C53*(1+Assumptions!C54)^5</f>
        <v>20073.383664</v>
      </c>
      <c r="H20" s="10" t="n">
        <f aca="false">Assumptions!C53*(1+Assumptions!C54)^6</f>
        <v>21277.78668384</v>
      </c>
      <c r="I20" s="10" t="n">
        <f aca="false">Assumptions!C53*(1+Assumptions!C54)^7</f>
        <v>22554.4538848704</v>
      </c>
      <c r="J20" s="10" t="n">
        <f aca="false">Assumptions!C53*(1+Assumptions!C54)^8</f>
        <v>23907.7211179626</v>
      </c>
      <c r="K20" s="10" t="n">
        <f aca="false">Assumptions!C53*(1+Assumptions!C54)^9</f>
        <v>25342.1843850404</v>
      </c>
      <c r="L20" s="10" t="n">
        <f aca="false">SUM(B20:K20)</f>
        <v>197711.924135713</v>
      </c>
    </row>
    <row r="21" customFormat="false" ht="15" hidden="false" customHeight="true" outlineLevel="0" collapsed="false">
      <c r="A21" s="6" t="s">
        <v>371</v>
      </c>
      <c r="B21" s="10" t="n">
        <f aca="false">Assumptions!C55*(1+Assumptions!C59)^0</f>
        <v>6000</v>
      </c>
      <c r="C21" s="10" t="n">
        <f aca="false">Assumptions!C55*(1+Assumptions!C59)^1</f>
        <v>6180</v>
      </c>
      <c r="D21" s="10" t="n">
        <f aca="false">Assumptions!C55*(1+Assumptions!C59)^2</f>
        <v>6365.4</v>
      </c>
      <c r="E21" s="10" t="n">
        <f aca="false">Assumptions!C55*(1+Assumptions!C59)^3</f>
        <v>6556.362</v>
      </c>
      <c r="F21" s="10" t="n">
        <f aca="false">Assumptions!C55*(1+Assumptions!C59)^4</f>
        <v>6753.05286</v>
      </c>
      <c r="G21" s="10" t="n">
        <f aca="false">Assumptions!C55*(1+Assumptions!C59)^5</f>
        <v>6955.6444458</v>
      </c>
      <c r="H21" s="10" t="n">
        <f aca="false">Assumptions!C55*(1+Assumptions!C59)^6</f>
        <v>7164.313779174</v>
      </c>
      <c r="I21" s="10" t="n">
        <f aca="false">Assumptions!C55*(1+Assumptions!C59)^7</f>
        <v>7379.24319254922</v>
      </c>
      <c r="J21" s="10" t="n">
        <f aca="false">Assumptions!C55*(1+Assumptions!C59)^8</f>
        <v>7600.6204883257</v>
      </c>
      <c r="K21" s="10" t="n">
        <f aca="false">Assumptions!C55*(1+Assumptions!C59)^9</f>
        <v>7828.63910297547</v>
      </c>
      <c r="L21" s="10" t="n">
        <f aca="false">SUM(B21:K21)</f>
        <v>68783.2758688244</v>
      </c>
    </row>
    <row r="22" customFormat="false" ht="15" hidden="false" customHeight="true" outlineLevel="0" collapsed="false">
      <c r="A22" s="6" t="s">
        <v>96</v>
      </c>
      <c r="B22" s="10" t="n">
        <f aca="false">Assumptions!C56*(1+Assumptions!C59)^0</f>
        <v>3000</v>
      </c>
      <c r="C22" s="10" t="n">
        <f aca="false">Assumptions!C56*(1+Assumptions!C59)^1</f>
        <v>3090</v>
      </c>
      <c r="D22" s="10" t="n">
        <f aca="false">Assumptions!C56*(1+Assumptions!C59)^2</f>
        <v>3182.7</v>
      </c>
      <c r="E22" s="10" t="n">
        <f aca="false">Assumptions!C56*(1+Assumptions!C59)^3</f>
        <v>3278.181</v>
      </c>
      <c r="F22" s="10" t="n">
        <f aca="false">Assumptions!C56*(1+Assumptions!C59)^4</f>
        <v>3376.52643</v>
      </c>
      <c r="G22" s="10" t="n">
        <f aca="false">Assumptions!C56*(1+Assumptions!C59)^5</f>
        <v>3477.8222229</v>
      </c>
      <c r="H22" s="10" t="n">
        <f aca="false">Assumptions!C56*(1+Assumptions!C59)^6</f>
        <v>3582.156889587</v>
      </c>
      <c r="I22" s="10" t="n">
        <f aca="false">Assumptions!C56*(1+Assumptions!C59)^7</f>
        <v>3689.62159627461</v>
      </c>
      <c r="J22" s="10" t="n">
        <f aca="false">Assumptions!C56*(1+Assumptions!C59)^8</f>
        <v>3800.31024416285</v>
      </c>
      <c r="K22" s="10" t="n">
        <f aca="false">Assumptions!C56*(1+Assumptions!C59)^9</f>
        <v>3914.31955148773</v>
      </c>
      <c r="L22" s="10" t="n">
        <f aca="false">SUM(B22:K22)</f>
        <v>34391.6379344122</v>
      </c>
    </row>
    <row r="23" customFormat="false" ht="15" hidden="false" customHeight="true" outlineLevel="0" collapsed="false">
      <c r="A23" s="6" t="s">
        <v>372</v>
      </c>
      <c r="B23" s="10" t="n">
        <f aca="false">Assumptions!C57*(1+Assumptions!C59)^0</f>
        <v>12000</v>
      </c>
      <c r="C23" s="10" t="n">
        <f aca="false">Assumptions!C57*(1+Assumptions!C59)^1</f>
        <v>12360</v>
      </c>
      <c r="D23" s="10" t="n">
        <f aca="false">Assumptions!C58*(1+Assumptions!C59)^2</f>
        <v>25461.6</v>
      </c>
      <c r="E23" s="10" t="n">
        <f aca="false">Assumptions!C58*(1+Assumptions!C59)^3</f>
        <v>26225.448</v>
      </c>
      <c r="F23" s="10" t="n">
        <f aca="false">Assumptions!C58*(1+Assumptions!C59)^4</f>
        <v>27012.21144</v>
      </c>
      <c r="G23" s="10" t="n">
        <f aca="false">Assumptions!C58*(1+Assumptions!C59)^5</f>
        <v>27822.5777832</v>
      </c>
      <c r="H23" s="10" t="n">
        <f aca="false">Assumptions!C58*(1+Assumptions!C59)^6</f>
        <v>28657.255116696</v>
      </c>
      <c r="I23" s="10" t="n">
        <f aca="false">Assumptions!C58*(1+Assumptions!C59)^7</f>
        <v>29516.9727701969</v>
      </c>
      <c r="J23" s="10" t="n">
        <f aca="false">Assumptions!C58*(1+Assumptions!C59)^8</f>
        <v>30402.4819533028</v>
      </c>
      <c r="K23" s="10" t="n">
        <f aca="false">Assumptions!C58*(1+Assumptions!C59)^9</f>
        <v>31314.5564119019</v>
      </c>
      <c r="L23" s="10" t="n">
        <f aca="false">SUM(B23:K23)</f>
        <v>250773.103475298</v>
      </c>
    </row>
    <row r="24" customFormat="false" ht="15" hidden="false" customHeight="true" outlineLevel="0" collapsed="false">
      <c r="A24" s="6" t="s">
        <v>373</v>
      </c>
      <c r="B24" s="10" t="n">
        <f aca="false">B14*Assumptions!C52</f>
        <v>4722</v>
      </c>
      <c r="C24" s="10" t="n">
        <f aca="false">C14*Assumptions!C52</f>
        <v>6948.4245</v>
      </c>
      <c r="D24" s="10" t="n">
        <f aca="false">D14*Assumptions!C52</f>
        <v>8700.35367</v>
      </c>
      <c r="E24" s="10" t="n">
        <f aca="false">E14*Assumptions!C52</f>
        <v>10413.37728315</v>
      </c>
      <c r="F24" s="10" t="n">
        <f aca="false">F14*Assumptions!C52</f>
        <v>11328.104238057</v>
      </c>
      <c r="G24" s="10" t="n">
        <f aca="false">G14*Assumptions!C52</f>
        <v>11791.7433155863</v>
      </c>
      <c r="H24" s="10" t="n">
        <f aca="false">H14*Assumptions!C52</f>
        <v>12286.6377253452</v>
      </c>
      <c r="I24" s="10" t="n">
        <f aca="false">I14*Assumptions!C52</f>
        <v>12816.0701939458</v>
      </c>
      <c r="J24" s="10" t="n">
        <f aca="false">J14*Assumptions!C52</f>
        <v>13383.7491662403</v>
      </c>
      <c r="K24" s="10" t="n">
        <f aca="false">K14*Assumptions!C52</f>
        <v>13993.868601075</v>
      </c>
      <c r="L24" s="10" t="n">
        <f aca="false">SUM(B24:K24)</f>
        <v>106384.3286934</v>
      </c>
    </row>
    <row r="26" customFormat="false" ht="15" hidden="false" customHeight="true" outlineLevel="0" collapsed="false">
      <c r="A26" s="12" t="s">
        <v>374</v>
      </c>
      <c r="B26" s="13" t="n">
        <f aca="false">SUM(B17:B24)</f>
        <v>55222</v>
      </c>
      <c r="C26" s="13" t="n">
        <f aca="false">SUM(C17:C24)</f>
        <v>59413.4245</v>
      </c>
      <c r="D26" s="13" t="n">
        <f aca="false">SUM(D17:D24)</f>
        <v>75947.10367</v>
      </c>
      <c r="E26" s="13" t="n">
        <f aca="false">SUM(E17:E24)</f>
        <v>80183.14978315</v>
      </c>
      <c r="F26" s="13" t="n">
        <f aca="false">SUM(F17:F24)</f>
        <v>83726.927113057</v>
      </c>
      <c r="G26" s="13" t="n">
        <f aca="false">SUM(G17:G24)</f>
        <v>86930.6455088363</v>
      </c>
      <c r="H26" s="13" t="n">
        <f aca="false">SUM(H17:H24)</f>
        <v>90281.9084943127</v>
      </c>
      <c r="I26" s="13" t="n">
        <f aca="false">SUM(I17:I24)</f>
        <v>93789.5326864976</v>
      </c>
      <c r="J26" s="13" t="n">
        <f aca="false">SUM(J17:J24)</f>
        <v>97463.0491501147</v>
      </c>
      <c r="K26" s="13" t="n">
        <f aca="false">SUM(K17:K24)</f>
        <v>101312.779218005</v>
      </c>
      <c r="L26" s="13" t="n">
        <f aca="false">SUM(L17:L24)</f>
        <v>824270.520123973</v>
      </c>
    </row>
    <row r="28" customFormat="false" ht="15" hidden="false" customHeight="true" outlineLevel="0" collapsed="false">
      <c r="A28" s="12" t="s">
        <v>375</v>
      </c>
      <c r="B28" s="13" t="n">
        <f aca="false">B14-B26</f>
        <v>23478</v>
      </c>
      <c r="C28" s="13" t="n">
        <f aca="false">C14-C26</f>
        <v>56393.6505</v>
      </c>
      <c r="D28" s="13" t="n">
        <f aca="false">D14-D26</f>
        <v>69058.79083</v>
      </c>
      <c r="E28" s="13" t="n">
        <f aca="false">E14-E26</f>
        <v>93373.13826935</v>
      </c>
      <c r="F28" s="13" t="n">
        <f aca="false">F14-F26</f>
        <v>105074.810187893</v>
      </c>
      <c r="G28" s="13" t="n">
        <f aca="false">G14-G26</f>
        <v>109598.409750936</v>
      </c>
      <c r="H28" s="13" t="n">
        <f aca="false">H14-H26</f>
        <v>114495.386928107</v>
      </c>
      <c r="I28" s="13" t="n">
        <f aca="false">I14-I26</f>
        <v>119811.6372126</v>
      </c>
      <c r="J28" s="13" t="n">
        <f aca="false">J14-J26</f>
        <v>125599.43695389</v>
      </c>
      <c r="K28" s="13" t="n">
        <f aca="false">K14-K26</f>
        <v>131918.364133245</v>
      </c>
      <c r="L28" s="13" t="n">
        <f aca="false">L14-L26</f>
        <v>948801.624766021</v>
      </c>
    </row>
    <row r="29" customFormat="false" ht="15" hidden="false" customHeight="true" outlineLevel="0" collapsed="false">
      <c r="A29" s="6" t="s">
        <v>376</v>
      </c>
      <c r="B29" s="25" t="n">
        <f aca="false">IF(B14=0,0,B28/B14)</f>
        <v>0.298322744599746</v>
      </c>
      <c r="C29" s="25" t="n">
        <f aca="false">IF(C14=0,0,C28/C14)</f>
        <v>0.486962048734933</v>
      </c>
      <c r="D29" s="25" t="n">
        <f aca="false">IF(D14=0,0,D28/D14)</f>
        <v>0.476248162656588</v>
      </c>
      <c r="E29" s="25" t="n">
        <f aca="false">IF(E14=0,0,E28/E14)</f>
        <v>0.537999166248042</v>
      </c>
      <c r="F29" s="25" t="n">
        <f aca="false">IF(F14=0,0,F28/F14)</f>
        <v>0.556535187069829</v>
      </c>
      <c r="G29" s="25" t="n">
        <f aca="false">IF(G14=0,0,G28/G14)</f>
        <v>0.557670262069233</v>
      </c>
      <c r="H29" s="25" t="n">
        <f aca="false">IF(H14=0,0,H28/H14)</f>
        <v>0.559121491920885</v>
      </c>
      <c r="I29" s="25" t="n">
        <f aca="false">IF(I14=0,0,I28/I14)</f>
        <v>0.560912832402544</v>
      </c>
      <c r="J29" s="25" t="n">
        <f aca="false">IF(J14=0,0,J28/J14)</f>
        <v>0.56306839911812</v>
      </c>
      <c r="K29" s="25" t="n">
        <f aca="false">IF(K14=0,0,K28/K14)</f>
        <v>0.565612131543574</v>
      </c>
      <c r="L29" s="25" t="n">
        <f aca="false">IF(L14=0,0,L28/L14)</f>
        <v>0.535117325880097</v>
      </c>
    </row>
    <row r="31" customFormat="false" ht="15" hidden="false" customHeight="true" outlineLevel="0" collapsed="false">
      <c r="A31" s="5" t="s">
        <v>377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customFormat="false" ht="15" hidden="false" customHeight="true" outlineLevel="0" collapsed="false">
      <c r="A32" s="6" t="s">
        <v>378</v>
      </c>
      <c r="B32" s="20" t="n">
        <f aca="false">Assumptions!C98</f>
        <v>16487.8056077389</v>
      </c>
      <c r="C32" s="20" t="n">
        <f aca="false">Assumptions!C98</f>
        <v>16487.8056077389</v>
      </c>
      <c r="D32" s="20" t="n">
        <f aca="false">Assumptions!C98</f>
        <v>16487.8056077389</v>
      </c>
      <c r="E32" s="20" t="n">
        <f aca="false">Assumptions!C98</f>
        <v>16487.8056077389</v>
      </c>
      <c r="F32" s="20" t="n">
        <f aca="false">Assumptions!C98</f>
        <v>16487.8056077389</v>
      </c>
      <c r="G32" s="20" t="n">
        <f aca="false">Assumptions!C98</f>
        <v>16487.8056077389</v>
      </c>
      <c r="H32" s="20" t="n">
        <f aca="false">Assumptions!C98</f>
        <v>16487.8056077389</v>
      </c>
      <c r="I32" s="20" t="n">
        <f aca="false">Assumptions!C98</f>
        <v>16487.8056077389</v>
      </c>
      <c r="J32" s="20" t="n">
        <f aca="false">Assumptions!C98</f>
        <v>16487.8056077389</v>
      </c>
      <c r="K32" s="20" t="n">
        <f aca="false">Assumptions!C98</f>
        <v>16487.8056077389</v>
      </c>
      <c r="L32" s="10" t="n">
        <f aca="false">SUM(B32:K32)</f>
        <v>164878.056077389</v>
      </c>
    </row>
    <row r="34" customFormat="false" ht="15" hidden="false" customHeight="true" outlineLevel="0" collapsed="false">
      <c r="A34" s="12" t="s">
        <v>379</v>
      </c>
      <c r="B34" s="13" t="n">
        <f aca="false">B28-B32</f>
        <v>6990.1943922611</v>
      </c>
      <c r="C34" s="13" t="n">
        <f aca="false">C28-C32</f>
        <v>39905.8448922611</v>
      </c>
      <c r="D34" s="13" t="n">
        <f aca="false">D28-D32</f>
        <v>52570.9852222611</v>
      </c>
      <c r="E34" s="13" t="n">
        <f aca="false">E28-E32</f>
        <v>76885.3326616111</v>
      </c>
      <c r="F34" s="13" t="n">
        <f aca="false">F28-F32</f>
        <v>88587.0045801541</v>
      </c>
      <c r="G34" s="13" t="n">
        <f aca="false">G28-G32</f>
        <v>93110.604143197</v>
      </c>
      <c r="H34" s="13" t="n">
        <f aca="false">H28-H32</f>
        <v>98007.5813203684</v>
      </c>
      <c r="I34" s="13" t="n">
        <f aca="false">I28-I32</f>
        <v>103323.831604861</v>
      </c>
      <c r="J34" s="13" t="n">
        <f aca="false">J28-J32</f>
        <v>109111.631346151</v>
      </c>
      <c r="K34" s="13" t="n">
        <f aca="false">K28-K32</f>
        <v>115430.558525506</v>
      </c>
      <c r="L34" s="13" t="n">
        <f aca="false">L28-L32</f>
        <v>783923.568688632</v>
      </c>
    </row>
    <row r="35" customFormat="false" ht="15" hidden="false" customHeight="true" outlineLevel="0" collapsed="false">
      <c r="A35" s="6" t="s">
        <v>380</v>
      </c>
      <c r="B35" s="25" t="n">
        <f aca="false">IF(B14=0,0,B34/B14)</f>
        <v>0.0888207673730763</v>
      </c>
      <c r="C35" s="25" t="n">
        <f aca="false">IF(C14=0,0,C34/C14)</f>
        <v>0.344589006261155</v>
      </c>
      <c r="D35" s="25" t="n">
        <f aca="false">IF(D14=0,0,D34/D14)</f>
        <v>0.362543780744452</v>
      </c>
      <c r="E35" s="25" t="n">
        <f aca="false">IF(E14=0,0,E34/E14)</f>
        <v>0.44299940684577</v>
      </c>
      <c r="F35" s="25" t="n">
        <f aca="false">IF(F14=0,0,F34/F14)</f>
        <v>0.469206511796798</v>
      </c>
      <c r="G35" s="25" t="n">
        <f aca="false">IF(G14=0,0,G34/G14)</f>
        <v>0.473775259440002</v>
      </c>
      <c r="H35" s="25" t="n">
        <f aca="false">IF(H14=0,0,H34/H14)</f>
        <v>0.478605702444677</v>
      </c>
      <c r="I35" s="25" t="n">
        <f aca="false">IF(I14=0,0,I34/I14)</f>
        <v>0.483723154014886</v>
      </c>
      <c r="J35" s="25" t="n">
        <f aca="false">IF(J14=0,0,J34/J14)</f>
        <v>0.489152762761179</v>
      </c>
      <c r="K35" s="25" t="n">
        <f aca="false">IF(K14=0,0,K34/K14)</f>
        <v>0.494919147018313</v>
      </c>
      <c r="L35" s="25" t="n">
        <f aca="false">IF(L14=0,0,L34/L14)</f>
        <v>0.442127282269875</v>
      </c>
    </row>
    <row r="37" customFormat="false" ht="15" hidden="false" customHeight="true" outlineLevel="0" collapsed="false">
      <c r="A37" s="5" t="s">
        <v>381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customFormat="false" ht="15" hidden="false" customHeight="true" outlineLevel="0" collapsed="false">
      <c r="A38" s="6" t="s">
        <v>382</v>
      </c>
      <c r="B38" s="20" t="n">
        <f aca="false">Assumptions!C92</f>
        <v>230500</v>
      </c>
      <c r="C38" s="10" t="n">
        <f aca="false">B40</f>
        <v>237490.194392261</v>
      </c>
      <c r="D38" s="10" t="n">
        <f aca="false">C40</f>
        <v>277396.039284522</v>
      </c>
      <c r="E38" s="10" t="n">
        <f aca="false">D40</f>
        <v>329967.024506783</v>
      </c>
      <c r="F38" s="10" t="n">
        <f aca="false">E40</f>
        <v>406852.357168394</v>
      </c>
      <c r="G38" s="10" t="n">
        <f aca="false">F40</f>
        <v>495439.361748548</v>
      </c>
      <c r="H38" s="10" t="n">
        <f aca="false">G40</f>
        <v>588549.965891745</v>
      </c>
      <c r="I38" s="10" t="n">
        <f aca="false">H40</f>
        <v>686557.547212114</v>
      </c>
      <c r="J38" s="10" t="n">
        <f aca="false">I40</f>
        <v>789881.378816975</v>
      </c>
      <c r="K38" s="10" t="n">
        <f aca="false">J40</f>
        <v>898993.010163125</v>
      </c>
    </row>
    <row r="39" customFormat="false" ht="15" hidden="false" customHeight="true" outlineLevel="0" collapsed="false">
      <c r="A39" s="6" t="s">
        <v>383</v>
      </c>
      <c r="B39" s="10" t="n">
        <f aca="false">B34</f>
        <v>6990.1943922611</v>
      </c>
      <c r="C39" s="10" t="n">
        <f aca="false">C34</f>
        <v>39905.8448922611</v>
      </c>
      <c r="D39" s="10" t="n">
        <f aca="false">D34</f>
        <v>52570.9852222611</v>
      </c>
      <c r="E39" s="10" t="n">
        <f aca="false">E34</f>
        <v>76885.3326616111</v>
      </c>
      <c r="F39" s="10" t="n">
        <f aca="false">F34</f>
        <v>88587.0045801541</v>
      </c>
      <c r="G39" s="10" t="n">
        <f aca="false">G34</f>
        <v>93110.604143197</v>
      </c>
      <c r="H39" s="10" t="n">
        <f aca="false">H34</f>
        <v>98007.5813203684</v>
      </c>
      <c r="I39" s="10" t="n">
        <f aca="false">I34</f>
        <v>103323.831604861</v>
      </c>
      <c r="J39" s="10" t="n">
        <f aca="false">J34</f>
        <v>109111.631346151</v>
      </c>
      <c r="K39" s="10" t="n">
        <f aca="false">K34</f>
        <v>115430.558525506</v>
      </c>
    </row>
    <row r="40" customFormat="false" ht="15" hidden="false" customHeight="true" outlineLevel="0" collapsed="false">
      <c r="A40" s="12" t="s">
        <v>384</v>
      </c>
      <c r="B40" s="13" t="n">
        <f aca="false">B38+B39</f>
        <v>237490.194392261</v>
      </c>
      <c r="C40" s="13" t="n">
        <f aca="false">C38+C39</f>
        <v>277396.039284522</v>
      </c>
      <c r="D40" s="13" t="n">
        <f aca="false">D38+D39</f>
        <v>329967.024506783</v>
      </c>
      <c r="E40" s="13" t="n">
        <f aca="false">E38+E39</f>
        <v>406852.357168394</v>
      </c>
      <c r="F40" s="13" t="n">
        <f aca="false">F38+F39</f>
        <v>495439.361748548</v>
      </c>
      <c r="G40" s="13" t="n">
        <f aca="false">G38+G39</f>
        <v>588549.965891745</v>
      </c>
      <c r="H40" s="13" t="n">
        <f aca="false">H38+H39</f>
        <v>686557.547212114</v>
      </c>
      <c r="I40" s="13" t="n">
        <f aca="false">I38+I39</f>
        <v>789881.378816975</v>
      </c>
      <c r="J40" s="13" t="n">
        <f aca="false">J38+J39</f>
        <v>898993.010163125</v>
      </c>
      <c r="K40" s="13" t="n">
        <f aca="false">K38+K39</f>
        <v>1014423.56868863</v>
      </c>
      <c r="L40" s="12"/>
    </row>
    <row r="42" customFormat="false" ht="15" hidden="false" customHeight="true" outlineLevel="0" collapsed="false">
      <c r="A42" s="19" t="s">
        <v>385</v>
      </c>
      <c r="B42" s="46" t="n">
        <f aca="false">IF(B32=0,0,B28/B32)</f>
        <v>1.4239614754422</v>
      </c>
      <c r="C42" s="46" t="n">
        <f aca="false">IF(C32=0,0,C28/C32)</f>
        <v>3.42032480498984</v>
      </c>
      <c r="D42" s="46" t="n">
        <f aca="false">IF(D32=0,0,D28/D32)</f>
        <v>4.18847677325755</v>
      </c>
      <c r="E42" s="46" t="n">
        <f aca="false">IF(E32=0,0,E28/E32)</f>
        <v>5.66316346097163</v>
      </c>
      <c r="F42" s="46" t="n">
        <f aca="false">IF(F32=0,0,F28/F32)</f>
        <v>6.37288021752112</v>
      </c>
      <c r="G42" s="46" t="n">
        <f aca="false">IF(G32=0,0,G28/G32)</f>
        <v>6.64724053390668</v>
      </c>
      <c r="H42" s="46" t="n">
        <f aca="false">IF(H32=0,0,H28/H32)</f>
        <v>6.94424653298717</v>
      </c>
      <c r="I42" s="46" t="n">
        <f aca="false">IF(I32=0,0,I28/I32)</f>
        <v>7.26668181703717</v>
      </c>
      <c r="J42" s="46" t="n">
        <f aca="false">IF(J32=0,0,J28/J32)</f>
        <v>7.61771699291123</v>
      </c>
      <c r="K42" s="46" t="n">
        <f aca="false">IF(K32=0,0,K28/K32)</f>
        <v>8.00096551789321</v>
      </c>
    </row>
    <row r="43" customFormat="false" ht="15" hidden="false" customHeight="true" outlineLevel="0" collapsed="false">
      <c r="A43" s="8" t="s">
        <v>386</v>
      </c>
    </row>
    <row r="45" customFormat="false" ht="15" hidden="false" customHeight="true" outlineLevel="0" collapsed="false">
      <c r="A45" s="5" t="s">
        <v>387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customFormat="false" ht="15" hidden="false" customHeight="true" outlineLevel="0" collapsed="false">
      <c r="A46" s="6" t="s">
        <v>388</v>
      </c>
      <c r="B46" s="25" t="n">
        <f aca="false">IF(F14=0,0,F6/F14)</f>
        <v>0.408313468844665</v>
      </c>
    </row>
    <row r="47" customFormat="false" ht="15" hidden="false" customHeight="true" outlineLevel="0" collapsed="false">
      <c r="A47" s="6" t="s">
        <v>389</v>
      </c>
      <c r="B47" s="25" t="n">
        <f aca="false">IF(F14=0,0,F7/F14)</f>
        <v>0.290614669504018</v>
      </c>
    </row>
    <row r="48" customFormat="false" ht="15" hidden="false" customHeight="true" outlineLevel="0" collapsed="false">
      <c r="A48" s="6" t="s">
        <v>390</v>
      </c>
      <c r="B48" s="25" t="n">
        <f aca="false">IF(F14=0,0,F8/F14)</f>
        <v>0.103765152291856</v>
      </c>
    </row>
    <row r="49" customFormat="false" ht="15" hidden="false" customHeight="true" outlineLevel="0" collapsed="false">
      <c r="A49" s="6" t="s">
        <v>391</v>
      </c>
      <c r="B49" s="25" t="n">
        <f aca="false">IF(F14=0,0,F9/F14)</f>
        <v>0.0463185952365492</v>
      </c>
    </row>
    <row r="50" customFormat="false" ht="15" hidden="false" customHeight="true" outlineLevel="0" collapsed="false">
      <c r="A50" s="6" t="s">
        <v>392</v>
      </c>
      <c r="B50" s="25" t="n">
        <f aca="false">IF(F14=0,0,F10/F14)</f>
        <v>0.111596033089543</v>
      </c>
    </row>
    <row r="51" customFormat="false" ht="15" hidden="false" customHeight="true" outlineLevel="0" collapsed="false">
      <c r="A51" s="6" t="s">
        <v>393</v>
      </c>
      <c r="B51" s="25" t="n">
        <f aca="false">IF(F14=0,0,F11/F14)</f>
        <v>0.0185274380946197</v>
      </c>
    </row>
    <row r="52" customFormat="false" ht="15" hidden="false" customHeight="true" outlineLevel="0" collapsed="false">
      <c r="A52" s="6" t="s">
        <v>394</v>
      </c>
      <c r="B52" s="25" t="n">
        <f aca="false">IF(F14=0,0,F12/F14)</f>
        <v>0.02086464293875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276"/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6"/>
    <col collapsed="false" customWidth="true" hidden="false" outlineLevel="0" max="12" min="2" style="1" width="16"/>
  </cols>
  <sheetData>
    <row r="1" customFormat="false" ht="19.5" hidden="false" customHeight="true" outlineLevel="0" collapsed="false">
      <c r="A1" s="2" t="s">
        <v>396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18" t="s">
        <v>347</v>
      </c>
    </row>
    <row r="4" customFormat="false" ht="15" hidden="false" customHeight="true" outlineLevel="0" collapsed="false">
      <c r="A4" s="4"/>
      <c r="B4" s="4" t="s">
        <v>348</v>
      </c>
      <c r="C4" s="4" t="s">
        <v>349</v>
      </c>
      <c r="D4" s="4" t="s">
        <v>350</v>
      </c>
      <c r="E4" s="4" t="s">
        <v>351</v>
      </c>
      <c r="F4" s="4" t="s">
        <v>352</v>
      </c>
      <c r="G4" s="4" t="s">
        <v>353</v>
      </c>
      <c r="H4" s="4" t="s">
        <v>354</v>
      </c>
      <c r="I4" s="4" t="s">
        <v>355</v>
      </c>
      <c r="J4" s="4" t="s">
        <v>356</v>
      </c>
      <c r="K4" s="4" t="s">
        <v>357</v>
      </c>
      <c r="L4" s="4" t="s">
        <v>358</v>
      </c>
    </row>
    <row r="5" customFormat="false" ht="15" hidden="false" customHeight="true" outlineLevel="0" collapsed="false">
      <c r="A5" s="5" t="s">
        <v>359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5" hidden="false" customHeight="true" outlineLevel="0" collapsed="false">
      <c r="A6" s="19" t="s">
        <v>360</v>
      </c>
      <c r="B6" s="10" t="n">
        <f aca="false">Assumptions!D20*Assumptions!D18*(1+Assumptions!D19)^0*12</f>
        <v>39600</v>
      </c>
      <c r="C6" s="10" t="n">
        <f aca="false">Assumptions!D21*Assumptions!D18*(1+Assumptions!D19)^1*12</f>
        <v>61182</v>
      </c>
      <c r="D6" s="10" t="n">
        <f aca="false">Assumptions!D22*Assumptions!D18*(1+Assumptions!D19)^2*12</f>
        <v>77021.34</v>
      </c>
      <c r="E6" s="10" t="n">
        <f aca="false">Assumptions!D23*(1-Assumptions!D24)*Assumptions!D18*(1+Assumptions!D19)^3*12</f>
        <v>84813.098832</v>
      </c>
      <c r="F6" s="10" t="n">
        <f aca="false">Assumptions!D23*(1-Assumptions!D24)*Assumptions!D18*(1+Assumptions!D19)^4*12</f>
        <v>87357.49179696</v>
      </c>
      <c r="G6" s="10" t="n">
        <f aca="false">Assumptions!D23*(1-Assumptions!D24)*Assumptions!D18*(1+Assumptions!D19)^5*12</f>
        <v>89978.2165508688</v>
      </c>
      <c r="H6" s="10" t="n">
        <f aca="false">Assumptions!D23*(1-Assumptions!D24)*Assumptions!D18*(1+Assumptions!D19)^6*12</f>
        <v>92677.5630473949</v>
      </c>
      <c r="I6" s="10" t="n">
        <f aca="false">Assumptions!D23*(1-Assumptions!D24)*Assumptions!D18*(1+Assumptions!D19)^7*12</f>
        <v>95457.8899388167</v>
      </c>
      <c r="J6" s="10" t="n">
        <f aca="false">Assumptions!D23*(1-Assumptions!D24)*Assumptions!D18*(1+Assumptions!D19)^8*12</f>
        <v>98321.6266369812</v>
      </c>
      <c r="K6" s="10" t="n">
        <f aca="false">Assumptions!D23*(1-Assumptions!D24)*Assumptions!D18*(1+Assumptions!D19)^9*12</f>
        <v>101271.275436091</v>
      </c>
      <c r="L6" s="10" t="n">
        <f aca="false">SUM(B6:K6)</f>
        <v>827680.502239112</v>
      </c>
    </row>
    <row r="7" customFormat="false" ht="15" hidden="false" customHeight="true" outlineLevel="0" collapsed="false">
      <c r="A7" s="6" t="s">
        <v>361</v>
      </c>
      <c r="B7" s="10" t="n">
        <f aca="false">(Assumptions!D27)*(Assumptions!D29*(1+Assumptions!D30)^0)</f>
        <v>28000</v>
      </c>
      <c r="C7" s="10" t="n">
        <f aca="false">(Assumptions!D27+(Assumptions!D28-Assumptions!D27)*1/4)*(Assumptions!D29*(1+Assumptions!D30)^1)</f>
        <v>40040</v>
      </c>
      <c r="D7" s="10" t="n">
        <f aca="false">(Assumptions!D27+(Assumptions!D28-Assumptions!D27)*2/4)*(Assumptions!D29*(1+Assumptions!D30)^2)</f>
        <v>52998.4</v>
      </c>
      <c r="E7" s="10" t="n">
        <f aca="false">(Assumptions!D27+(Assumptions!D28-Assumptions!D27)*3/4)*(Assumptions!D29*(1+Assumptions!D30)^3)</f>
        <v>66929.408</v>
      </c>
      <c r="F7" s="10" t="n">
        <f aca="false">(Assumptions!D28)*(Assumptions!D29*(1+Assumptions!D30)^4)</f>
        <v>81890.0992</v>
      </c>
      <c r="G7" s="10" t="n">
        <f aca="false">(Assumptions!D28)*(Assumptions!D29*(1+Assumptions!D30)^5)</f>
        <v>85165.703168</v>
      </c>
      <c r="H7" s="10" t="n">
        <f aca="false">(Assumptions!D28)*(Assumptions!D29*(1+Assumptions!D30)^6)</f>
        <v>88572.33129472</v>
      </c>
      <c r="I7" s="10" t="n">
        <f aca="false">(Assumptions!D28)*(Assumptions!D29*(1+Assumptions!D30)^7)</f>
        <v>92115.2245465088</v>
      </c>
      <c r="J7" s="10" t="n">
        <f aca="false">(Assumptions!D28)*(Assumptions!D29*(1+Assumptions!D30)^8)</f>
        <v>95799.8335283692</v>
      </c>
      <c r="K7" s="10" t="n">
        <f aca="false">(Assumptions!D28)*(Assumptions!D29*(1+Assumptions!D30)^9)</f>
        <v>99631.8268695039</v>
      </c>
      <c r="L7" s="10" t="n">
        <f aca="false">SUM(B7:K7)</f>
        <v>731142.826607102</v>
      </c>
    </row>
    <row r="8" customFormat="false" ht="15" hidden="false" customHeight="true" outlineLevel="0" collapsed="false">
      <c r="A8" s="6" t="s">
        <v>362</v>
      </c>
      <c r="B8" s="10" t="n">
        <f aca="false">Assumptions!D31*(1+Assumptions!D32)^0*Assumptions!D33</f>
        <v>22400</v>
      </c>
      <c r="C8" s="10" t="n">
        <f aca="false">Assumptions!D31*(1+Assumptions!D32)^1*Assumptions!D33</f>
        <v>24640</v>
      </c>
      <c r="D8" s="10" t="n">
        <f aca="false">Assumptions!D31*(1+Assumptions!D32)^2*Assumptions!D33</f>
        <v>27104</v>
      </c>
      <c r="E8" s="10" t="n">
        <f aca="false">Assumptions!D31*(1+Assumptions!D32)^3*Assumptions!D33</f>
        <v>29814.4</v>
      </c>
      <c r="F8" s="10" t="n">
        <f aca="false">Assumptions!D31*(1+Assumptions!D32)^4*Assumptions!D33</f>
        <v>32795.84</v>
      </c>
      <c r="G8" s="10" t="n">
        <f aca="false">Assumptions!D31*(1+Assumptions!D32)^5*Assumptions!D33</f>
        <v>36075.424</v>
      </c>
      <c r="H8" s="10" t="n">
        <f aca="false">Assumptions!D31*(1+Assumptions!D32)^6*Assumptions!D33</f>
        <v>39682.9664</v>
      </c>
      <c r="I8" s="10" t="n">
        <f aca="false">Assumptions!D31*(1+Assumptions!D32)^7*Assumptions!D33</f>
        <v>43651.26304</v>
      </c>
      <c r="J8" s="10" t="n">
        <f aca="false">Assumptions!D31*(1+Assumptions!D32)^8*Assumptions!D33</f>
        <v>48016.389344</v>
      </c>
      <c r="K8" s="10" t="n">
        <f aca="false">Assumptions!D31*(1+Assumptions!D32)^9*Assumptions!D33</f>
        <v>52818.0282784</v>
      </c>
      <c r="L8" s="10" t="n">
        <f aca="false">SUM(B8:K8)</f>
        <v>356998.3110624</v>
      </c>
    </row>
    <row r="9" customFormat="false" ht="15" hidden="false" customHeight="true" outlineLevel="0" collapsed="false">
      <c r="A9" s="6" t="s">
        <v>363</v>
      </c>
      <c r="B9" s="10" t="n">
        <f aca="false">Assumptions!D34*(1+Assumptions!D35)^0</f>
        <v>8000</v>
      </c>
      <c r="C9" s="10" t="n">
        <f aca="false">Assumptions!D34*(1+Assumptions!D35)^1</f>
        <v>9600</v>
      </c>
      <c r="D9" s="10" t="n">
        <f aca="false">Assumptions!D34*(1+Assumptions!D35)^2</f>
        <v>11520</v>
      </c>
      <c r="E9" s="10" t="n">
        <f aca="false">Assumptions!D34*(1+Assumptions!D35)^3</f>
        <v>13824</v>
      </c>
      <c r="F9" s="10" t="n">
        <f aca="false">Assumptions!D34*(1+Assumptions!D35)^4</f>
        <v>16588.8</v>
      </c>
      <c r="G9" s="10" t="n">
        <f aca="false">Assumptions!D34*(1+Assumptions!D35)^5</f>
        <v>19906.56</v>
      </c>
      <c r="H9" s="10" t="n">
        <f aca="false">Assumptions!D34*(1+Assumptions!D35)^6</f>
        <v>23887.872</v>
      </c>
      <c r="I9" s="10" t="n">
        <f aca="false">Assumptions!D34*(1+Assumptions!D35)^7</f>
        <v>28665.4464</v>
      </c>
      <c r="J9" s="10" t="n">
        <f aca="false">Assumptions!D34*(1+Assumptions!D35)^8</f>
        <v>34398.53568</v>
      </c>
      <c r="K9" s="10" t="n">
        <f aca="false">Assumptions!D34*(1+Assumptions!D35)^9</f>
        <v>41278.242816</v>
      </c>
      <c r="L9" s="10" t="n">
        <f aca="false">SUM(B9:K9)</f>
        <v>207669.456896</v>
      </c>
    </row>
    <row r="10" customFormat="false" ht="15" hidden="false" customHeight="true" outlineLevel="0" collapsed="false">
      <c r="A10" s="6" t="s">
        <v>364</v>
      </c>
      <c r="B10" s="10" t="n">
        <f aca="false">(Assumptions!D38)*Assumptions!D40*(Assumptions!D41*(1+Assumptions!D42)^0)</f>
        <v>16875</v>
      </c>
      <c r="C10" s="10" t="n">
        <f aca="false">(Assumptions!D38+(Assumptions!D39-Assumptions!D38)*1/3)*Assumptions!D40*(Assumptions!D41*(1+Assumptions!D42)^1)</f>
        <v>25492.5</v>
      </c>
      <c r="D10" s="10" t="n">
        <f aca="false">(Assumptions!D38+(Assumptions!D39-Assumptions!D38)*2/3)*Assumptions!D40*(Assumptions!D41*(1+Assumptions!D42)^2)</f>
        <v>34611.8625</v>
      </c>
      <c r="E10" s="10" t="n">
        <f aca="false">(Assumptions!D39)*Assumptions!D40*(Assumptions!D41*(1+Assumptions!D42)^3)</f>
        <v>44255.4435</v>
      </c>
      <c r="F10" s="10" t="n">
        <f aca="false">(Assumptions!D39)*Assumptions!D40*(Assumptions!D41*(1+Assumptions!D42)^4)</f>
        <v>45583.106805</v>
      </c>
      <c r="G10" s="10" t="n">
        <f aca="false">(Assumptions!D39)*Assumptions!D40*(Assumptions!D41*(1+Assumptions!D42)^5)</f>
        <v>46950.60000915</v>
      </c>
      <c r="H10" s="10" t="n">
        <f aca="false">(Assumptions!D39)*Assumptions!D40*(Assumptions!D41*(1+Assumptions!D42)^6)</f>
        <v>48359.1180094245</v>
      </c>
      <c r="I10" s="10" t="n">
        <f aca="false">(Assumptions!D39)*Assumptions!D40*(Assumptions!D41*(1+Assumptions!D42)^7)</f>
        <v>49809.8915497072</v>
      </c>
      <c r="J10" s="10" t="n">
        <f aca="false">(Assumptions!D39)*Assumptions!D40*(Assumptions!D41*(1+Assumptions!D42)^8)</f>
        <v>51304.1882961985</v>
      </c>
      <c r="K10" s="10" t="n">
        <f aca="false">(Assumptions!D39)*Assumptions!D40*(Assumptions!D41*(1+Assumptions!D42)^9)</f>
        <v>52843.3139450844</v>
      </c>
      <c r="L10" s="10" t="n">
        <f aca="false">SUM(B10:K10)</f>
        <v>416085.024614565</v>
      </c>
    </row>
    <row r="11" customFormat="false" ht="15" hidden="false" customHeight="true" outlineLevel="0" collapsed="false">
      <c r="A11" s="6" t="s">
        <v>365</v>
      </c>
      <c r="B11" s="10" t="n">
        <f aca="false">Assumptions!D43*(1+Assumptions!D44)^0</f>
        <v>3000</v>
      </c>
      <c r="C11" s="10" t="n">
        <f aca="false">Assumptions!D43*(1+Assumptions!D44)^1</f>
        <v>3600</v>
      </c>
      <c r="D11" s="10" t="n">
        <f aca="false">Assumptions!D43*(1+Assumptions!D44)^2</f>
        <v>4320</v>
      </c>
      <c r="E11" s="10" t="n">
        <f aca="false">Assumptions!D43*(1+Assumptions!D44)^3</f>
        <v>5184</v>
      </c>
      <c r="F11" s="10" t="n">
        <f aca="false">Assumptions!D43*(1+Assumptions!D44)^4</f>
        <v>6220.8</v>
      </c>
      <c r="G11" s="10" t="n">
        <f aca="false">Assumptions!D43*(1+Assumptions!D44)^5</f>
        <v>7464.96</v>
      </c>
      <c r="H11" s="10" t="n">
        <f aca="false">Assumptions!D43*(1+Assumptions!D44)^6</f>
        <v>8957.952</v>
      </c>
      <c r="I11" s="10" t="n">
        <f aca="false">Assumptions!D43*(1+Assumptions!D44)^7</f>
        <v>10749.5424</v>
      </c>
      <c r="J11" s="10" t="n">
        <f aca="false">Assumptions!D43*(1+Assumptions!D44)^8</f>
        <v>12899.45088</v>
      </c>
      <c r="K11" s="10" t="n">
        <f aca="false">Assumptions!D43*(1+Assumptions!D44)^9</f>
        <v>15479.341056</v>
      </c>
      <c r="L11" s="10" t="n">
        <f aca="false">SUM(B11:K11)</f>
        <v>77876.046336</v>
      </c>
    </row>
    <row r="12" customFormat="false" ht="15" hidden="false" customHeight="true" outlineLevel="0" collapsed="false">
      <c r="A12" s="6" t="s">
        <v>366</v>
      </c>
      <c r="B12" s="10" t="n">
        <v>0</v>
      </c>
      <c r="C12" s="10" t="n">
        <f aca="false">Assumptions!D45*Assumptions!D46*(1+Assumptions!D42)^1</f>
        <v>6180</v>
      </c>
      <c r="D12" s="10" t="n">
        <f aca="false">Assumptions!D45*Assumptions!D46*(1+Assumptions!D42)^2</f>
        <v>6365.4</v>
      </c>
      <c r="E12" s="10" t="n">
        <f aca="false">Assumptions!D45*Assumptions!D46*(1+Assumptions!D42)^3</f>
        <v>6556.362</v>
      </c>
      <c r="F12" s="10" t="n">
        <f aca="false">Assumptions!D45*Assumptions!D46*(1+Assumptions!D42)^4</f>
        <v>6753.05286</v>
      </c>
      <c r="G12" s="10" t="n">
        <f aca="false">Assumptions!D45*Assumptions!D46*(1+Assumptions!D42)^5</f>
        <v>6955.6444458</v>
      </c>
      <c r="H12" s="10" t="n">
        <f aca="false">Assumptions!D45*Assumptions!D46*(1+Assumptions!D42)^6</f>
        <v>7164.313779174</v>
      </c>
      <c r="I12" s="10" t="n">
        <f aca="false">Assumptions!D45*Assumptions!D46*(1+Assumptions!D42)^7</f>
        <v>7379.24319254922</v>
      </c>
      <c r="J12" s="10" t="n">
        <f aca="false">Assumptions!D45*Assumptions!D46*(1+Assumptions!D42)^8</f>
        <v>7600.6204883257</v>
      </c>
      <c r="K12" s="10" t="n">
        <f aca="false">Assumptions!D45*Assumptions!D46*(1+Assumptions!D42)^9</f>
        <v>7828.63910297547</v>
      </c>
      <c r="L12" s="10" t="n">
        <f aca="false">SUM(B12:K12)</f>
        <v>62783.2758688244</v>
      </c>
    </row>
    <row r="14" customFormat="false" ht="15" hidden="false" customHeight="true" outlineLevel="0" collapsed="false">
      <c r="A14" s="12" t="s">
        <v>367</v>
      </c>
      <c r="B14" s="13" t="n">
        <f aca="false">SUM(B6:B12)</f>
        <v>117875</v>
      </c>
      <c r="C14" s="13" t="n">
        <f aca="false">SUM(C6:C12)</f>
        <v>170734.5</v>
      </c>
      <c r="D14" s="13" t="n">
        <f aca="false">SUM(D6:D12)</f>
        <v>213941.0025</v>
      </c>
      <c r="E14" s="13" t="n">
        <f aca="false">SUM(E6:E12)</f>
        <v>251376.712332</v>
      </c>
      <c r="F14" s="13" t="n">
        <f aca="false">SUM(F6:F12)</f>
        <v>277189.19066196</v>
      </c>
      <c r="G14" s="13" t="n">
        <f aca="false">SUM(G6:G12)</f>
        <v>292497.108173819</v>
      </c>
      <c r="H14" s="13" t="n">
        <f aca="false">SUM(H6:H12)</f>
        <v>309302.116530713</v>
      </c>
      <c r="I14" s="13" t="n">
        <f aca="false">SUM(I6:I12)</f>
        <v>327828.501067582</v>
      </c>
      <c r="J14" s="13" t="n">
        <f aca="false">SUM(J6:J12)</f>
        <v>348340.644853875</v>
      </c>
      <c r="K14" s="13" t="n">
        <f aca="false">SUM(K6:K12)</f>
        <v>371150.667504055</v>
      </c>
      <c r="L14" s="13" t="n">
        <f aca="false">SUM(L6:L12)</f>
        <v>2680235.443624</v>
      </c>
    </row>
    <row r="16" customFormat="false" ht="15" hidden="false" customHeight="true" outlineLevel="0" collapsed="false">
      <c r="A16" s="5" t="s">
        <v>81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customFormat="false" ht="15" hidden="false" customHeight="true" outlineLevel="0" collapsed="false">
      <c r="A17" s="6" t="s">
        <v>368</v>
      </c>
      <c r="B17" s="10" t="n">
        <f aca="false">Assumptions!D49*(1+Assumptions!D59)^0</f>
        <v>0</v>
      </c>
      <c r="C17" s="10" t="n">
        <f aca="false">Assumptions!D49*(1+Assumptions!D59)^1</f>
        <v>0</v>
      </c>
      <c r="D17" s="10" t="n">
        <f aca="false">Assumptions!D49*(1+Assumptions!D59)^2</f>
        <v>0</v>
      </c>
      <c r="E17" s="10" t="n">
        <f aca="false">Assumptions!D49*(1+Assumptions!D59)^3</f>
        <v>0</v>
      </c>
      <c r="F17" s="10" t="n">
        <f aca="false">Assumptions!D49*(1+Assumptions!D59)^4</f>
        <v>0</v>
      </c>
      <c r="G17" s="10" t="n">
        <f aca="false">Assumptions!D49*(1+Assumptions!D59)^5</f>
        <v>0</v>
      </c>
      <c r="H17" s="10" t="n">
        <f aca="false">Assumptions!D49*(1+Assumptions!D59)^6</f>
        <v>0</v>
      </c>
      <c r="I17" s="10" t="n">
        <f aca="false">Assumptions!D49*(1+Assumptions!D59)^7</f>
        <v>0</v>
      </c>
      <c r="J17" s="10" t="n">
        <f aca="false">Assumptions!D49*(1+Assumptions!D59)^8</f>
        <v>0</v>
      </c>
      <c r="K17" s="10" t="n">
        <f aca="false">Assumptions!D49*(1+Assumptions!D59)^9</f>
        <v>0</v>
      </c>
      <c r="L17" s="10" t="n">
        <f aca="false">SUM(B17:K17)</f>
        <v>0</v>
      </c>
    </row>
    <row r="18" customFormat="false" ht="15" hidden="false" customHeight="true" outlineLevel="0" collapsed="false">
      <c r="A18" s="6" t="s">
        <v>84</v>
      </c>
      <c r="B18" s="10" t="n">
        <f aca="false">Assumptions!D50*(1+Assumptions!D59)^0</f>
        <v>6000</v>
      </c>
      <c r="C18" s="10" t="n">
        <f aca="false">Assumptions!D50*(1+Assumptions!D59)^1</f>
        <v>6180</v>
      </c>
      <c r="D18" s="10" t="n">
        <f aca="false">Assumptions!D50*(1+Assumptions!D59)^2</f>
        <v>6365.4</v>
      </c>
      <c r="E18" s="10" t="n">
        <f aca="false">Assumptions!D50*(1+Assumptions!D59)^3</f>
        <v>6556.362</v>
      </c>
      <c r="F18" s="10" t="n">
        <f aca="false">Assumptions!D50*(1+Assumptions!D59)^4</f>
        <v>6753.05286</v>
      </c>
      <c r="G18" s="10" t="n">
        <f aca="false">Assumptions!D50*(1+Assumptions!D59)^5</f>
        <v>6955.6444458</v>
      </c>
      <c r="H18" s="10" t="n">
        <f aca="false">Assumptions!D50*(1+Assumptions!D59)^6</f>
        <v>7164.313779174</v>
      </c>
      <c r="I18" s="10" t="n">
        <f aca="false">Assumptions!D50*(1+Assumptions!D59)^7</f>
        <v>7379.24319254922</v>
      </c>
      <c r="J18" s="10" t="n">
        <f aca="false">Assumptions!D50*(1+Assumptions!D59)^8</f>
        <v>7600.6204883257</v>
      </c>
      <c r="K18" s="10" t="n">
        <f aca="false">Assumptions!D50*(1+Assumptions!D59)^9</f>
        <v>7828.63910297547</v>
      </c>
      <c r="L18" s="10" t="n">
        <f aca="false">SUM(B18:K18)</f>
        <v>68783.2758688244</v>
      </c>
    </row>
    <row r="19" customFormat="false" ht="15" hidden="false" customHeight="true" outlineLevel="0" collapsed="false">
      <c r="A19" s="6" t="s">
        <v>369</v>
      </c>
      <c r="B19" s="10" t="n">
        <f aca="false">Assumptions!D51*(1+Assumptions!D59)^0</f>
        <v>4500</v>
      </c>
      <c r="C19" s="10" t="n">
        <f aca="false">Assumptions!D51*(1+Assumptions!D59)^1</f>
        <v>4635</v>
      </c>
      <c r="D19" s="10" t="n">
        <f aca="false">Assumptions!D51*(1+Assumptions!D59)^2</f>
        <v>4774.05</v>
      </c>
      <c r="E19" s="10" t="n">
        <f aca="false">Assumptions!D51*(1+Assumptions!D59)^3</f>
        <v>4917.2715</v>
      </c>
      <c r="F19" s="10" t="n">
        <f aca="false">Assumptions!D51*(1+Assumptions!D59)^4</f>
        <v>5064.789645</v>
      </c>
      <c r="G19" s="10" t="n">
        <f aca="false">Assumptions!D51*(1+Assumptions!D59)^5</f>
        <v>5216.73333435</v>
      </c>
      <c r="H19" s="10" t="n">
        <f aca="false">Assumptions!D51*(1+Assumptions!D59)^6</f>
        <v>5373.2353343805</v>
      </c>
      <c r="I19" s="10" t="n">
        <f aca="false">Assumptions!D51*(1+Assumptions!D59)^7</f>
        <v>5534.43239441192</v>
      </c>
      <c r="J19" s="10" t="n">
        <f aca="false">Assumptions!D51*(1+Assumptions!D59)^8</f>
        <v>5700.46536624427</v>
      </c>
      <c r="K19" s="10" t="n">
        <f aca="false">Assumptions!D51*(1+Assumptions!D59)^9</f>
        <v>5871.4793272316</v>
      </c>
      <c r="L19" s="10" t="n">
        <f aca="false">SUM(B19:K19)</f>
        <v>51587.4569016183</v>
      </c>
    </row>
    <row r="20" customFormat="false" ht="15" hidden="false" customHeight="true" outlineLevel="0" collapsed="false">
      <c r="A20" s="6" t="s">
        <v>370</v>
      </c>
      <c r="B20" s="10" t="n">
        <f aca="false">Assumptions!D53*(1+Assumptions!D54)^0</f>
        <v>18000</v>
      </c>
      <c r="C20" s="10" t="n">
        <f aca="false">Assumptions!D53*(1+Assumptions!D54)^1</f>
        <v>19260</v>
      </c>
      <c r="D20" s="10" t="n">
        <f aca="false">Assumptions!D53*(1+Assumptions!D54)^2</f>
        <v>20608.2</v>
      </c>
      <c r="E20" s="10" t="n">
        <f aca="false">Assumptions!D53*(1+Assumptions!D54)^3</f>
        <v>22050.774</v>
      </c>
      <c r="F20" s="10" t="n">
        <f aca="false">Assumptions!D53*(1+Assumptions!D54)^4</f>
        <v>23594.32818</v>
      </c>
      <c r="G20" s="10" t="n">
        <f aca="false">Assumptions!D53*(1+Assumptions!D54)^5</f>
        <v>25245.9311526</v>
      </c>
      <c r="H20" s="10" t="n">
        <f aca="false">Assumptions!D53*(1+Assumptions!D54)^6</f>
        <v>27013.146333282</v>
      </c>
      <c r="I20" s="10" t="n">
        <f aca="false">Assumptions!D53*(1+Assumptions!D54)^7</f>
        <v>28904.0665766118</v>
      </c>
      <c r="J20" s="10" t="n">
        <f aca="false">Assumptions!D53*(1+Assumptions!D54)^8</f>
        <v>30927.3512369746</v>
      </c>
      <c r="K20" s="10" t="n">
        <f aca="false">Assumptions!D53*(1+Assumptions!D54)^9</f>
        <v>33092.2658235628</v>
      </c>
      <c r="L20" s="10" t="n">
        <f aca="false">SUM(B20:K20)</f>
        <v>248696.063303031</v>
      </c>
    </row>
    <row r="21" customFormat="false" ht="15" hidden="false" customHeight="true" outlineLevel="0" collapsed="false">
      <c r="A21" s="6" t="s">
        <v>371</v>
      </c>
      <c r="B21" s="10" t="n">
        <f aca="false">Assumptions!D55*(1+Assumptions!D59)^0</f>
        <v>5000</v>
      </c>
      <c r="C21" s="10" t="n">
        <f aca="false">Assumptions!D55*(1+Assumptions!D59)^1</f>
        <v>5150</v>
      </c>
      <c r="D21" s="10" t="n">
        <f aca="false">Assumptions!D55*(1+Assumptions!D59)^2</f>
        <v>5304.5</v>
      </c>
      <c r="E21" s="10" t="n">
        <f aca="false">Assumptions!D55*(1+Assumptions!D59)^3</f>
        <v>5463.635</v>
      </c>
      <c r="F21" s="10" t="n">
        <f aca="false">Assumptions!D55*(1+Assumptions!D59)^4</f>
        <v>5627.54405</v>
      </c>
      <c r="G21" s="10" t="n">
        <f aca="false">Assumptions!D55*(1+Assumptions!D59)^5</f>
        <v>5796.3703715</v>
      </c>
      <c r="H21" s="10" t="n">
        <f aca="false">Assumptions!D55*(1+Assumptions!D59)^6</f>
        <v>5970.261482645</v>
      </c>
      <c r="I21" s="10" t="n">
        <f aca="false">Assumptions!D55*(1+Assumptions!D59)^7</f>
        <v>6149.36932712435</v>
      </c>
      <c r="J21" s="10" t="n">
        <f aca="false">Assumptions!D55*(1+Assumptions!D59)^8</f>
        <v>6333.85040693808</v>
      </c>
      <c r="K21" s="10" t="n">
        <f aca="false">Assumptions!D55*(1+Assumptions!D59)^9</f>
        <v>6523.86591914623</v>
      </c>
      <c r="L21" s="10" t="n">
        <f aca="false">SUM(B21:K21)</f>
        <v>57319.3965573537</v>
      </c>
    </row>
    <row r="22" customFormat="false" ht="15" hidden="false" customHeight="true" outlineLevel="0" collapsed="false">
      <c r="A22" s="6" t="s">
        <v>96</v>
      </c>
      <c r="B22" s="10" t="n">
        <f aca="false">Assumptions!D56*(1+Assumptions!D59)^0</f>
        <v>4000</v>
      </c>
      <c r="C22" s="10" t="n">
        <f aca="false">Assumptions!D56*(1+Assumptions!D59)^1</f>
        <v>4120</v>
      </c>
      <c r="D22" s="10" t="n">
        <f aca="false">Assumptions!D56*(1+Assumptions!D59)^2</f>
        <v>4243.6</v>
      </c>
      <c r="E22" s="10" t="n">
        <f aca="false">Assumptions!D56*(1+Assumptions!D59)^3</f>
        <v>4370.908</v>
      </c>
      <c r="F22" s="10" t="n">
        <f aca="false">Assumptions!D56*(1+Assumptions!D59)^4</f>
        <v>4502.03524</v>
      </c>
      <c r="G22" s="10" t="n">
        <f aca="false">Assumptions!D56*(1+Assumptions!D59)^5</f>
        <v>4637.0962972</v>
      </c>
      <c r="H22" s="10" t="n">
        <f aca="false">Assumptions!D56*(1+Assumptions!D59)^6</f>
        <v>4776.209186116</v>
      </c>
      <c r="I22" s="10" t="n">
        <f aca="false">Assumptions!D56*(1+Assumptions!D59)^7</f>
        <v>4919.49546169948</v>
      </c>
      <c r="J22" s="10" t="n">
        <f aca="false">Assumptions!D56*(1+Assumptions!D59)^8</f>
        <v>5067.08032555047</v>
      </c>
      <c r="K22" s="10" t="n">
        <f aca="false">Assumptions!D56*(1+Assumptions!D59)^9</f>
        <v>5219.09273531698</v>
      </c>
      <c r="L22" s="10" t="n">
        <f aca="false">SUM(B22:K22)</f>
        <v>45855.5172458829</v>
      </c>
    </row>
    <row r="23" customFormat="false" ht="15" hidden="false" customHeight="true" outlineLevel="0" collapsed="false">
      <c r="A23" s="6" t="s">
        <v>372</v>
      </c>
      <c r="B23" s="10" t="n">
        <f aca="false">Assumptions!D57*(1+Assumptions!D59)^0</f>
        <v>18000</v>
      </c>
      <c r="C23" s="10" t="n">
        <f aca="false">Assumptions!D57*(1+Assumptions!D59)^1</f>
        <v>18540</v>
      </c>
      <c r="D23" s="10" t="n">
        <f aca="false">Assumptions!D58*(1+Assumptions!D59)^2</f>
        <v>33948.8</v>
      </c>
      <c r="E23" s="10" t="n">
        <f aca="false">Assumptions!D58*(1+Assumptions!D59)^3</f>
        <v>34967.264</v>
      </c>
      <c r="F23" s="10" t="n">
        <f aca="false">Assumptions!D58*(1+Assumptions!D59)^4</f>
        <v>36016.28192</v>
      </c>
      <c r="G23" s="10" t="n">
        <f aca="false">Assumptions!D58*(1+Assumptions!D59)^5</f>
        <v>37096.7703776</v>
      </c>
      <c r="H23" s="10" t="n">
        <f aca="false">Assumptions!D58*(1+Assumptions!D59)^6</f>
        <v>38209.673488928</v>
      </c>
      <c r="I23" s="10" t="n">
        <f aca="false">Assumptions!D58*(1+Assumptions!D59)^7</f>
        <v>39355.9636935959</v>
      </c>
      <c r="J23" s="10" t="n">
        <f aca="false">Assumptions!D58*(1+Assumptions!D59)^8</f>
        <v>40536.6426044037</v>
      </c>
      <c r="K23" s="10" t="n">
        <f aca="false">Assumptions!D58*(1+Assumptions!D59)^9</f>
        <v>41752.7418825358</v>
      </c>
      <c r="L23" s="10" t="n">
        <f aca="false">SUM(B23:K23)</f>
        <v>338424.137967063</v>
      </c>
    </row>
    <row r="24" customFormat="false" ht="15" hidden="false" customHeight="true" outlineLevel="0" collapsed="false">
      <c r="A24" s="6" t="s">
        <v>373</v>
      </c>
      <c r="B24" s="10" t="n">
        <f aca="false">B14*Assumptions!D52</f>
        <v>5893.75</v>
      </c>
      <c r="C24" s="10" t="n">
        <f aca="false">C14*Assumptions!D52</f>
        <v>8536.725</v>
      </c>
      <c r="D24" s="10" t="n">
        <f aca="false">D14*Assumptions!D52</f>
        <v>10697.050125</v>
      </c>
      <c r="E24" s="10" t="n">
        <f aca="false">E14*Assumptions!D52</f>
        <v>12568.8356166</v>
      </c>
      <c r="F24" s="10" t="n">
        <f aca="false">F14*Assumptions!D52</f>
        <v>13859.459533098</v>
      </c>
      <c r="G24" s="10" t="n">
        <f aca="false">G14*Assumptions!D52</f>
        <v>14624.8554086909</v>
      </c>
      <c r="H24" s="10" t="n">
        <f aca="false">H14*Assumptions!D52</f>
        <v>15465.1058265357</v>
      </c>
      <c r="I24" s="10" t="n">
        <f aca="false">I14*Assumptions!D52</f>
        <v>16391.4250533791</v>
      </c>
      <c r="J24" s="10" t="n">
        <f aca="false">J14*Assumptions!D52</f>
        <v>17417.0322426937</v>
      </c>
      <c r="K24" s="10" t="n">
        <f aca="false">K14*Assumptions!D52</f>
        <v>18557.5333752027</v>
      </c>
      <c r="L24" s="10" t="n">
        <f aca="false">SUM(B24:K24)</f>
        <v>134011.7721812</v>
      </c>
    </row>
    <row r="26" customFormat="false" ht="15" hidden="false" customHeight="true" outlineLevel="0" collapsed="false">
      <c r="A26" s="12" t="s">
        <v>374</v>
      </c>
      <c r="B26" s="13" t="n">
        <f aca="false">SUM(B17:B24)</f>
        <v>61393.75</v>
      </c>
      <c r="C26" s="13" t="n">
        <f aca="false">SUM(C17:C24)</f>
        <v>66421.725</v>
      </c>
      <c r="D26" s="13" t="n">
        <f aca="false">SUM(D17:D24)</f>
        <v>85941.600125</v>
      </c>
      <c r="E26" s="13" t="n">
        <f aca="false">SUM(E17:E24)</f>
        <v>90895.0501166</v>
      </c>
      <c r="F26" s="13" t="n">
        <f aca="false">SUM(F17:F24)</f>
        <v>95417.491428098</v>
      </c>
      <c r="G26" s="13" t="n">
        <f aca="false">SUM(G17:G24)</f>
        <v>99573.401387741</v>
      </c>
      <c r="H26" s="13" t="n">
        <f aca="false">SUM(H17:H24)</f>
        <v>103971.945431061</v>
      </c>
      <c r="I26" s="13" t="n">
        <f aca="false">SUM(I17:I24)</f>
        <v>108633.995699372</v>
      </c>
      <c r="J26" s="13" t="n">
        <f aca="false">SUM(J17:J24)</f>
        <v>113583.042671131</v>
      </c>
      <c r="K26" s="13" t="n">
        <f aca="false">SUM(K17:K24)</f>
        <v>118845.618165972</v>
      </c>
      <c r="L26" s="13" t="n">
        <f aca="false">SUM(L17:L24)</f>
        <v>944677.620024974</v>
      </c>
    </row>
    <row r="28" customFormat="false" ht="15" hidden="false" customHeight="true" outlineLevel="0" collapsed="false">
      <c r="A28" s="12" t="s">
        <v>375</v>
      </c>
      <c r="B28" s="13" t="n">
        <f aca="false">B14-B26</f>
        <v>56481.25</v>
      </c>
      <c r="C28" s="13" t="n">
        <f aca="false">C14-C26</f>
        <v>104312.775</v>
      </c>
      <c r="D28" s="13" t="n">
        <f aca="false">D14-D26</f>
        <v>127999.402375</v>
      </c>
      <c r="E28" s="13" t="n">
        <f aca="false">E14-E26</f>
        <v>160481.6622154</v>
      </c>
      <c r="F28" s="13" t="n">
        <f aca="false">F14-F26</f>
        <v>181771.699233862</v>
      </c>
      <c r="G28" s="13" t="n">
        <f aca="false">G14-G26</f>
        <v>192923.706786078</v>
      </c>
      <c r="H28" s="13" t="n">
        <f aca="false">H14-H26</f>
        <v>205330.171099652</v>
      </c>
      <c r="I28" s="13" t="n">
        <f aca="false">I14-I26</f>
        <v>219194.50536821</v>
      </c>
      <c r="J28" s="13" t="n">
        <f aca="false">J14-J26</f>
        <v>234757.602182744</v>
      </c>
      <c r="K28" s="13" t="n">
        <f aca="false">K14-K26</f>
        <v>252305.049338083</v>
      </c>
      <c r="L28" s="13" t="n">
        <f aca="false">L14-L26</f>
        <v>1735557.82359903</v>
      </c>
    </row>
    <row r="29" customFormat="false" ht="15" hidden="false" customHeight="true" outlineLevel="0" collapsed="false">
      <c r="A29" s="6" t="s">
        <v>376</v>
      </c>
      <c r="B29" s="25" t="n">
        <f aca="false">IF(B14=0,0,B28/B14)</f>
        <v>0.479162248144221</v>
      </c>
      <c r="C29" s="25" t="n">
        <f aca="false">IF(C14=0,0,C28/C14)</f>
        <v>0.610964831360973</v>
      </c>
      <c r="D29" s="25" t="n">
        <f aca="false">IF(D14=0,0,D28/D14)</f>
        <v>0.598292991428794</v>
      </c>
      <c r="E29" s="25" t="n">
        <f aca="false">IF(E14=0,0,E28/E14)</f>
        <v>0.638411015589414</v>
      </c>
      <c r="F29" s="25" t="n">
        <f aca="false">IF(F14=0,0,F28/F14)</f>
        <v>0.655767632207339</v>
      </c>
      <c r="G29" s="25" t="n">
        <f aca="false">IF(G14=0,0,G28/G14)</f>
        <v>0.659574749270449</v>
      </c>
      <c r="H29" s="25" t="n">
        <f aca="false">IF(H14=0,0,H28/H14)</f>
        <v>0.663849874041399</v>
      </c>
      <c r="I29" s="25" t="n">
        <f aca="false">IF(I14=0,0,I28/I14)</f>
        <v>0.668625530283053</v>
      </c>
      <c r="J29" s="25" t="n">
        <f aca="false">IF(J14=0,0,J28/J14)</f>
        <v>0.673931123602365</v>
      </c>
      <c r="K29" s="25" t="n">
        <f aca="false">IF(K14=0,0,K28/K14)</f>
        <v>0.679791447055195</v>
      </c>
      <c r="L29" s="25" t="n">
        <f aca="false">IF(L14=0,0,L28/L14)</f>
        <v>0.647539315147756</v>
      </c>
    </row>
    <row r="31" customFormat="false" ht="15" hidden="false" customHeight="true" outlineLevel="0" collapsed="false">
      <c r="A31" s="5" t="s">
        <v>377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customFormat="false" ht="15" hidden="false" customHeight="true" outlineLevel="0" collapsed="false">
      <c r="A32" s="6" t="s">
        <v>378</v>
      </c>
      <c r="B32" s="20" t="n">
        <f aca="false">Assumptions!D98</f>
        <v>12155.6997411135</v>
      </c>
      <c r="C32" s="20" t="n">
        <f aca="false">Assumptions!D98</f>
        <v>12155.6997411135</v>
      </c>
      <c r="D32" s="20" t="n">
        <f aca="false">Assumptions!D98</f>
        <v>12155.6997411135</v>
      </c>
      <c r="E32" s="20" t="n">
        <f aca="false">Assumptions!D98</f>
        <v>12155.6997411135</v>
      </c>
      <c r="F32" s="20" t="n">
        <f aca="false">Assumptions!D98</f>
        <v>12155.6997411135</v>
      </c>
      <c r="G32" s="20" t="n">
        <f aca="false">Assumptions!D98</f>
        <v>12155.6997411135</v>
      </c>
      <c r="H32" s="20" t="n">
        <f aca="false">Assumptions!D98</f>
        <v>12155.6997411135</v>
      </c>
      <c r="I32" s="20" t="n">
        <f aca="false">Assumptions!D98</f>
        <v>12155.6997411135</v>
      </c>
      <c r="J32" s="20" t="n">
        <f aca="false">Assumptions!D98</f>
        <v>12155.6997411135</v>
      </c>
      <c r="K32" s="20" t="n">
        <f aca="false">Assumptions!D98</f>
        <v>12155.6997411135</v>
      </c>
      <c r="L32" s="10" t="n">
        <f aca="false">SUM(B32:K32)</f>
        <v>121556.997411135</v>
      </c>
    </row>
    <row r="34" customFormat="false" ht="15" hidden="false" customHeight="true" outlineLevel="0" collapsed="false">
      <c r="A34" s="12" t="s">
        <v>379</v>
      </c>
      <c r="B34" s="13" t="n">
        <f aca="false">B28-B32</f>
        <v>44325.5502588865</v>
      </c>
      <c r="C34" s="13" t="n">
        <f aca="false">C28-C32</f>
        <v>92157.0752588865</v>
      </c>
      <c r="D34" s="13" t="n">
        <f aca="false">D28-D32</f>
        <v>115843.702633886</v>
      </c>
      <c r="E34" s="13" t="n">
        <f aca="false">E28-E32</f>
        <v>148325.962474286</v>
      </c>
      <c r="F34" s="13" t="n">
        <f aca="false">F28-F32</f>
        <v>169615.999492749</v>
      </c>
      <c r="G34" s="13" t="n">
        <f aca="false">G28-G32</f>
        <v>180768.007044964</v>
      </c>
      <c r="H34" s="13" t="n">
        <f aca="false">H28-H32</f>
        <v>193174.471358539</v>
      </c>
      <c r="I34" s="13" t="n">
        <f aca="false">I28-I32</f>
        <v>207038.805627097</v>
      </c>
      <c r="J34" s="13" t="n">
        <f aca="false">J28-J32</f>
        <v>222601.902441631</v>
      </c>
      <c r="K34" s="13" t="n">
        <f aca="false">K28-K32</f>
        <v>240149.349596969</v>
      </c>
      <c r="L34" s="13" t="n">
        <f aca="false">L28-L32</f>
        <v>1614000.82618789</v>
      </c>
    </row>
    <row r="35" customFormat="false" ht="15" hidden="false" customHeight="true" outlineLevel="0" collapsed="false">
      <c r="A35" s="6" t="s">
        <v>380</v>
      </c>
      <c r="B35" s="25" t="n">
        <f aca="false">IF(B14=0,0,B34/B14)</f>
        <v>0.376038602408369</v>
      </c>
      <c r="C35" s="25" t="n">
        <f aca="false">IF(C14=0,0,C34/C14)</f>
        <v>0.539768326020145</v>
      </c>
      <c r="D35" s="25" t="n">
        <f aca="false">IF(D14=0,0,D34/D14)</f>
        <v>0.541474992078185</v>
      </c>
      <c r="E35" s="25" t="n">
        <f aca="false">IF(E14=0,0,E34/E14)</f>
        <v>0.590054508622853</v>
      </c>
      <c r="F35" s="25" t="n">
        <f aca="false">IF(F14=0,0,F34/F14)</f>
        <v>0.611914191486637</v>
      </c>
      <c r="G35" s="25" t="n">
        <f aca="false">IF(G14=0,0,G34/G14)</f>
        <v>0.618016390567326</v>
      </c>
      <c r="H35" s="25" t="n">
        <f aca="false">IF(H14=0,0,H34/H14)</f>
        <v>0.624549464857466</v>
      </c>
      <c r="I35" s="25" t="n">
        <f aca="false">IF(I14=0,0,I34/I14)</f>
        <v>0.631546082640373</v>
      </c>
      <c r="J35" s="25" t="n">
        <f aca="false">IF(J14=0,0,J34/J14)</f>
        <v>0.639035110401802</v>
      </c>
      <c r="K35" s="25" t="n">
        <f aca="false">IF(K14=0,0,K34/K14)</f>
        <v>0.647040058453744</v>
      </c>
      <c r="L35" s="25" t="n">
        <f aca="false">IF(L14=0,0,L34/L14)</f>
        <v>0.602186210926891</v>
      </c>
    </row>
    <row r="37" customFormat="false" ht="15" hidden="false" customHeight="true" outlineLevel="0" collapsed="false">
      <c r="A37" s="5" t="s">
        <v>381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customFormat="false" ht="15" hidden="false" customHeight="true" outlineLevel="0" collapsed="false">
      <c r="A38" s="6" t="s">
        <v>382</v>
      </c>
      <c r="B38" s="20" t="n">
        <f aca="false">Assumptions!D92</f>
        <v>470000</v>
      </c>
      <c r="C38" s="10" t="n">
        <f aca="false">B40</f>
        <v>514325.550258887</v>
      </c>
      <c r="D38" s="10" t="n">
        <f aca="false">C40</f>
        <v>606482.625517773</v>
      </c>
      <c r="E38" s="10" t="n">
        <f aca="false">D40</f>
        <v>722326.32815166</v>
      </c>
      <c r="F38" s="10" t="n">
        <f aca="false">E40</f>
        <v>870652.290625946</v>
      </c>
      <c r="G38" s="10" t="n">
        <f aca="false">F40</f>
        <v>1040268.29011869</v>
      </c>
      <c r="H38" s="10" t="n">
        <f aca="false">G40</f>
        <v>1221036.29716366</v>
      </c>
      <c r="I38" s="10" t="n">
        <f aca="false">H40</f>
        <v>1414210.7685222</v>
      </c>
      <c r="J38" s="10" t="n">
        <f aca="false">I40</f>
        <v>1621249.57414929</v>
      </c>
      <c r="K38" s="10" t="n">
        <f aca="false">J40</f>
        <v>1843851.47659093</v>
      </c>
    </row>
    <row r="39" customFormat="false" ht="15" hidden="false" customHeight="true" outlineLevel="0" collapsed="false">
      <c r="A39" s="6" t="s">
        <v>383</v>
      </c>
      <c r="B39" s="10" t="n">
        <f aca="false">B34</f>
        <v>44325.5502588865</v>
      </c>
      <c r="C39" s="10" t="n">
        <f aca="false">C34</f>
        <v>92157.0752588865</v>
      </c>
      <c r="D39" s="10" t="n">
        <f aca="false">D34</f>
        <v>115843.702633886</v>
      </c>
      <c r="E39" s="10" t="n">
        <f aca="false">E34</f>
        <v>148325.962474286</v>
      </c>
      <c r="F39" s="10" t="n">
        <f aca="false">F34</f>
        <v>169615.999492749</v>
      </c>
      <c r="G39" s="10" t="n">
        <f aca="false">G34</f>
        <v>180768.007044964</v>
      </c>
      <c r="H39" s="10" t="n">
        <f aca="false">H34</f>
        <v>193174.471358539</v>
      </c>
      <c r="I39" s="10" t="n">
        <f aca="false">I34</f>
        <v>207038.805627097</v>
      </c>
      <c r="J39" s="10" t="n">
        <f aca="false">J34</f>
        <v>222601.902441631</v>
      </c>
      <c r="K39" s="10" t="n">
        <f aca="false">K34</f>
        <v>240149.349596969</v>
      </c>
    </row>
    <row r="40" customFormat="false" ht="15" hidden="false" customHeight="true" outlineLevel="0" collapsed="false">
      <c r="A40" s="12" t="s">
        <v>384</v>
      </c>
      <c r="B40" s="13" t="n">
        <f aca="false">B38+B39</f>
        <v>514325.550258887</v>
      </c>
      <c r="C40" s="13" t="n">
        <f aca="false">C38+C39</f>
        <v>606482.625517773</v>
      </c>
      <c r="D40" s="13" t="n">
        <f aca="false">D38+D39</f>
        <v>722326.32815166</v>
      </c>
      <c r="E40" s="13" t="n">
        <f aca="false">E38+E39</f>
        <v>870652.290625946</v>
      </c>
      <c r="F40" s="13" t="n">
        <f aca="false">F38+F39</f>
        <v>1040268.29011869</v>
      </c>
      <c r="G40" s="13" t="n">
        <f aca="false">G38+G39</f>
        <v>1221036.29716366</v>
      </c>
      <c r="H40" s="13" t="n">
        <f aca="false">H38+H39</f>
        <v>1414210.7685222</v>
      </c>
      <c r="I40" s="13" t="n">
        <f aca="false">I38+I39</f>
        <v>1621249.57414929</v>
      </c>
      <c r="J40" s="13" t="n">
        <f aca="false">J38+J39</f>
        <v>1843851.47659093</v>
      </c>
      <c r="K40" s="13" t="n">
        <f aca="false">K38+K39</f>
        <v>2084000.82618789</v>
      </c>
      <c r="L40" s="12"/>
    </row>
    <row r="42" customFormat="false" ht="15" hidden="false" customHeight="true" outlineLevel="0" collapsed="false">
      <c r="A42" s="19" t="s">
        <v>385</v>
      </c>
      <c r="B42" s="46" t="n">
        <f aca="false">IF(B32=0,0,B28/B32)</f>
        <v>4.64648281899944</v>
      </c>
      <c r="C42" s="46" t="n">
        <f aca="false">IF(C32=0,0,C28/C32)</f>
        <v>8.58138792678375</v>
      </c>
      <c r="D42" s="46" t="n">
        <f aca="false">IF(D32=0,0,D28/D32)</f>
        <v>10.5299904654666</v>
      </c>
      <c r="E42" s="46" t="n">
        <f aca="false">IF(E32=0,0,E28/E32)</f>
        <v>13.2021739293717</v>
      </c>
      <c r="F42" s="46" t="n">
        <f aca="false">IF(F32=0,0,F28/F32)</f>
        <v>14.9536187225048</v>
      </c>
      <c r="G42" s="46" t="n">
        <f aca="false">IF(G32=0,0,G28/G32)</f>
        <v>15.8710490465278</v>
      </c>
      <c r="H42" s="46" t="n">
        <f aca="false">IF(H32=0,0,H28/H32)</f>
        <v>16.8916784284475</v>
      </c>
      <c r="I42" s="46" t="n">
        <f aca="false">IF(I32=0,0,I28/I32)</f>
        <v>18.0322408447488</v>
      </c>
      <c r="J42" s="46" t="n">
        <f aca="false">IF(J32=0,0,J28/J32)</f>
        <v>19.3125535495696</v>
      </c>
      <c r="K42" s="46" t="n">
        <f aca="false">IF(K32=0,0,K28/K32)</f>
        <v>20.7561106897636</v>
      </c>
    </row>
    <row r="43" customFormat="false" ht="15" hidden="false" customHeight="true" outlineLevel="0" collapsed="false">
      <c r="A43" s="8" t="s">
        <v>386</v>
      </c>
    </row>
    <row r="45" customFormat="false" ht="15" hidden="false" customHeight="true" outlineLevel="0" collapsed="false">
      <c r="A45" s="5" t="s">
        <v>387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customFormat="false" ht="15" hidden="false" customHeight="true" outlineLevel="0" collapsed="false">
      <c r="A46" s="6" t="s">
        <v>388</v>
      </c>
      <c r="B46" s="25" t="n">
        <f aca="false">IF(F14=0,0,F6/F14)</f>
        <v>0.315154756173356</v>
      </c>
    </row>
    <row r="47" customFormat="false" ht="15" hidden="false" customHeight="true" outlineLevel="0" collapsed="false">
      <c r="A47" s="6" t="s">
        <v>389</v>
      </c>
      <c r="B47" s="25" t="n">
        <f aca="false">IF(F14=0,0,F7/F14)</f>
        <v>0.295430348508313</v>
      </c>
    </row>
    <row r="48" customFormat="false" ht="15" hidden="false" customHeight="true" outlineLevel="0" collapsed="false">
      <c r="A48" s="6" t="s">
        <v>390</v>
      </c>
      <c r="B48" s="25" t="n">
        <f aca="false">IF(F14=0,0,F8/F14)</f>
        <v>0.118315724800378</v>
      </c>
    </row>
    <row r="49" customFormat="false" ht="15" hidden="false" customHeight="true" outlineLevel="0" collapsed="false">
      <c r="A49" s="6" t="s">
        <v>391</v>
      </c>
      <c r="B49" s="25" t="n">
        <f aca="false">IF(F14=0,0,F9/F14)</f>
        <v>0.059846489541616</v>
      </c>
    </row>
    <row r="50" customFormat="false" ht="15" hidden="false" customHeight="true" outlineLevel="0" collapsed="false">
      <c r="A50" s="6" t="s">
        <v>392</v>
      </c>
      <c r="B50" s="25" t="n">
        <f aca="false">IF(F14=0,0,F10/F14)</f>
        <v>0.164447634830717</v>
      </c>
    </row>
    <row r="51" customFormat="false" ht="15" hidden="false" customHeight="true" outlineLevel="0" collapsed="false">
      <c r="A51" s="6" t="s">
        <v>393</v>
      </c>
      <c r="B51" s="25" t="n">
        <f aca="false">IF(F14=0,0,F11/F14)</f>
        <v>0.022442433578106</v>
      </c>
    </row>
    <row r="52" customFormat="false" ht="15" hidden="false" customHeight="true" outlineLevel="0" collapsed="false">
      <c r="A52" s="6" t="s">
        <v>394</v>
      </c>
      <c r="B52" s="25" t="n">
        <f aca="false">IF(F14=0,0,F12/F14)</f>
        <v>0.0243626125675136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4513"/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  <col collapsed="false" customWidth="true" hidden="false" outlineLevel="0" max="5" min="5" style="1" width="4"/>
    <col collapsed="false" customWidth="true" hidden="false" outlineLevel="0" max="6" min="6" style="1" width="18"/>
  </cols>
  <sheetData>
    <row r="1" customFormat="false" ht="19.5" hidden="false" customHeight="true" outlineLevel="0" collapsed="false">
      <c r="A1" s="2" t="s">
        <v>397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18" t="s">
        <v>398</v>
      </c>
    </row>
    <row r="4" customFormat="false" ht="15" hidden="false" customHeight="true" outlineLevel="0" collapsed="false">
      <c r="A4" s="4" t="s">
        <v>399</v>
      </c>
      <c r="B4" s="4" t="s">
        <v>3</v>
      </c>
      <c r="C4" s="4" t="s">
        <v>4</v>
      </c>
      <c r="D4" s="4" t="s">
        <v>5</v>
      </c>
      <c r="E4" s="4"/>
      <c r="F4" s="4" t="s">
        <v>7</v>
      </c>
    </row>
    <row r="5" customFormat="false" ht="15" hidden="false" customHeight="true" outlineLevel="0" collapsed="false">
      <c r="A5" s="5" t="s">
        <v>400</v>
      </c>
      <c r="B5" s="5"/>
      <c r="C5" s="5"/>
      <c r="D5" s="5"/>
      <c r="E5" s="5"/>
      <c r="F5" s="5"/>
    </row>
    <row r="6" customFormat="false" ht="15" hidden="false" customHeight="true" outlineLevel="0" collapsed="false">
      <c r="A6" s="6" t="s">
        <v>401</v>
      </c>
      <c r="B6" s="20" t="n">
        <f aca="false">Assumptions!B66</f>
        <v>385000</v>
      </c>
      <c r="C6" s="20" t="n">
        <f aca="false">Assumptions!C66</f>
        <v>312000</v>
      </c>
      <c r="D6" s="20" t="n">
        <f aca="false">Assumptions!D66</f>
        <v>240000</v>
      </c>
      <c r="F6" s="8" t="s">
        <v>402</v>
      </c>
    </row>
    <row r="7" customFormat="false" ht="15" hidden="false" customHeight="true" outlineLevel="0" collapsed="false">
      <c r="A7" s="6" t="s">
        <v>403</v>
      </c>
      <c r="B7" s="20" t="n">
        <f aca="false">Assumptions!B71</f>
        <v>310000</v>
      </c>
      <c r="C7" s="20" t="n">
        <f aca="false">Assumptions!C71</f>
        <v>250000</v>
      </c>
      <c r="D7" s="20" t="n">
        <f aca="false">Assumptions!D71</f>
        <v>190000</v>
      </c>
      <c r="F7" s="8" t="s">
        <v>404</v>
      </c>
    </row>
    <row r="8" customFormat="false" ht="15" hidden="false" customHeight="true" outlineLevel="0" collapsed="false">
      <c r="A8" s="6" t="s">
        <v>405</v>
      </c>
      <c r="B8" s="20" t="n">
        <f aca="false">Assumptions!B73</f>
        <v>695000</v>
      </c>
      <c r="C8" s="20" t="n">
        <f aca="false">Assumptions!C73</f>
        <v>562000</v>
      </c>
      <c r="D8" s="20" t="n">
        <f aca="false">Assumptions!D73</f>
        <v>430000</v>
      </c>
      <c r="F8" s="8" t="s">
        <v>199</v>
      </c>
    </row>
    <row r="9" customFormat="false" ht="15" hidden="false" customHeight="true" outlineLevel="0" collapsed="false">
      <c r="A9" s="6" t="s">
        <v>196</v>
      </c>
      <c r="B9" s="20" t="n">
        <f aca="false">Assumptions!B91</f>
        <v>405000</v>
      </c>
      <c r="C9" s="20" t="n">
        <f aca="false">Assumptions!C91</f>
        <v>542500</v>
      </c>
      <c r="D9" s="20" t="n">
        <f aca="false">Assumptions!D91</f>
        <v>710000</v>
      </c>
      <c r="F9" s="8" t="s">
        <v>406</v>
      </c>
    </row>
    <row r="10" customFormat="false" ht="15" hidden="false" customHeight="true" outlineLevel="0" collapsed="false">
      <c r="A10" s="12" t="s">
        <v>407</v>
      </c>
      <c r="B10" s="13" t="n">
        <f aca="false">Assumptions!B92</f>
        <v>20000</v>
      </c>
      <c r="C10" s="13" t="n">
        <f aca="false">Assumptions!C92</f>
        <v>230500</v>
      </c>
      <c r="D10" s="13" t="n">
        <f aca="false">Assumptions!D92</f>
        <v>470000</v>
      </c>
      <c r="E10" s="12"/>
      <c r="F10" s="12" t="s">
        <v>408</v>
      </c>
    </row>
    <row r="11" customFormat="false" ht="15" hidden="false" customHeight="true" outlineLevel="0" collapsed="false">
      <c r="A11" s="12" t="s">
        <v>409</v>
      </c>
      <c r="B11" s="13" t="n">
        <f aca="false">Assumptions!B93</f>
        <v>-290000</v>
      </c>
      <c r="C11" s="13" t="n">
        <f aca="false">Assumptions!C93</f>
        <v>-19500</v>
      </c>
      <c r="D11" s="13" t="n">
        <f aca="false">Assumptions!D93</f>
        <v>280000</v>
      </c>
      <c r="E11" s="12"/>
      <c r="F11" s="12"/>
    </row>
    <row r="12" customFormat="false" ht="15" hidden="false" customHeight="true" outlineLevel="0" collapsed="false">
      <c r="A12" s="5" t="s">
        <v>410</v>
      </c>
      <c r="B12" s="5"/>
      <c r="C12" s="5"/>
      <c r="D12" s="5"/>
      <c r="E12" s="5"/>
      <c r="F12" s="5"/>
    </row>
    <row r="13" customFormat="false" ht="15" hidden="false" customHeight="true" outlineLevel="0" collapsed="false">
      <c r="A13" s="6" t="s">
        <v>411</v>
      </c>
      <c r="B13" s="20" t="n">
        <f aca="false">'P&amp;L — Conservative'!B14</f>
        <v>48600</v>
      </c>
      <c r="C13" s="20" t="n">
        <f aca="false">'P&amp;L — Moderate'!B14</f>
        <v>78700</v>
      </c>
      <c r="D13" s="20" t="n">
        <f aca="false">'P&amp;L — Optimistic'!B14</f>
        <v>117875</v>
      </c>
    </row>
    <row r="14" customFormat="false" ht="15" hidden="false" customHeight="true" outlineLevel="0" collapsed="false">
      <c r="A14" s="6" t="s">
        <v>412</v>
      </c>
      <c r="B14" s="20" t="n">
        <f aca="false">'P&amp;L — Conservative'!B26</f>
        <v>43888</v>
      </c>
      <c r="C14" s="20" t="n">
        <f aca="false">'P&amp;L — Moderate'!B26</f>
        <v>55222</v>
      </c>
      <c r="D14" s="20" t="n">
        <f aca="false">'P&amp;L — Optimistic'!B26</f>
        <v>61393.75</v>
      </c>
    </row>
    <row r="15" customFormat="false" ht="15" hidden="false" customHeight="true" outlineLevel="0" collapsed="false">
      <c r="A15" s="6" t="s">
        <v>413</v>
      </c>
      <c r="B15" s="20" t="n">
        <f aca="false">'P&amp;L — Conservative'!B28</f>
        <v>4712</v>
      </c>
      <c r="C15" s="20" t="n">
        <f aca="false">'P&amp;L — Moderate'!B28</f>
        <v>23478</v>
      </c>
      <c r="D15" s="20" t="n">
        <f aca="false">'P&amp;L — Optimistic'!B28</f>
        <v>56481.25</v>
      </c>
    </row>
    <row r="16" customFormat="false" ht="15" hidden="false" customHeight="true" outlineLevel="0" collapsed="false">
      <c r="A16" s="6" t="s">
        <v>414</v>
      </c>
      <c r="B16" s="20" t="n">
        <f aca="false">'P&amp;L — Conservative'!B34</f>
        <v>-18207.8325087333</v>
      </c>
      <c r="C16" s="20" t="n">
        <f aca="false">'P&amp;L — Moderate'!B34</f>
        <v>6990.1943922611</v>
      </c>
      <c r="D16" s="20" t="n">
        <f aca="false">'P&amp;L — Optimistic'!B34</f>
        <v>44325.5502588865</v>
      </c>
    </row>
    <row r="17" customFormat="false" ht="15" hidden="false" customHeight="true" outlineLevel="0" collapsed="false">
      <c r="A17" s="6" t="s">
        <v>415</v>
      </c>
      <c r="B17" s="47" t="n">
        <f aca="false">'P&amp;L — Conservative'!B42</f>
        <v>0.205586144584807</v>
      </c>
      <c r="C17" s="47" t="n">
        <f aca="false">'P&amp;L — Moderate'!B42</f>
        <v>1.4239614754422</v>
      </c>
      <c r="D17" s="47" t="n">
        <f aca="false">'P&amp;L — Optimistic'!B42</f>
        <v>4.64648281899944</v>
      </c>
    </row>
    <row r="19" customFormat="false" ht="15" hidden="false" customHeight="true" outlineLevel="0" collapsed="false">
      <c r="A19" s="5" t="s">
        <v>416</v>
      </c>
      <c r="B19" s="5"/>
      <c r="C19" s="5"/>
      <c r="D19" s="5"/>
      <c r="E19" s="5"/>
      <c r="F19" s="5"/>
    </row>
    <row r="20" customFormat="false" ht="15" hidden="false" customHeight="true" outlineLevel="0" collapsed="false">
      <c r="A20" s="6" t="s">
        <v>411</v>
      </c>
      <c r="B20" s="20" t="n">
        <f aca="false">'P&amp;L — Conservative'!F14</f>
        <v>121901.1419848</v>
      </c>
      <c r="C20" s="20" t="n">
        <f aca="false">'P&amp;L — Moderate'!F14</f>
        <v>188801.73730095</v>
      </c>
      <c r="D20" s="20" t="n">
        <f aca="false">'P&amp;L — Optimistic'!F14</f>
        <v>277189.19066196</v>
      </c>
    </row>
    <row r="21" customFormat="false" ht="15" hidden="false" customHeight="true" outlineLevel="0" collapsed="false">
      <c r="A21" s="6" t="s">
        <v>412</v>
      </c>
      <c r="B21" s="20" t="n">
        <f aca="false">'P&amp;L — Conservative'!F26</f>
        <v>72735.045188784</v>
      </c>
      <c r="C21" s="20" t="n">
        <f aca="false">'P&amp;L — Moderate'!F26</f>
        <v>83726.927113057</v>
      </c>
      <c r="D21" s="20" t="n">
        <f aca="false">'P&amp;L — Optimistic'!F26</f>
        <v>95417.491428098</v>
      </c>
    </row>
    <row r="22" customFormat="false" ht="15" hidden="false" customHeight="true" outlineLevel="0" collapsed="false">
      <c r="A22" s="6" t="s">
        <v>413</v>
      </c>
      <c r="B22" s="20" t="n">
        <f aca="false">'P&amp;L — Conservative'!F28</f>
        <v>49166.096796016</v>
      </c>
      <c r="C22" s="20" t="n">
        <f aca="false">'P&amp;L — Moderate'!F28</f>
        <v>105074.810187893</v>
      </c>
      <c r="D22" s="20" t="n">
        <f aca="false">'P&amp;L — Optimistic'!F28</f>
        <v>181771.699233862</v>
      </c>
    </row>
    <row r="23" customFormat="false" ht="15" hidden="false" customHeight="true" outlineLevel="0" collapsed="false">
      <c r="A23" s="6" t="s">
        <v>414</v>
      </c>
      <c r="B23" s="20" t="n">
        <f aca="false">'P&amp;L — Conservative'!F34</f>
        <v>26246.2642872827</v>
      </c>
      <c r="C23" s="20" t="n">
        <f aca="false">'P&amp;L — Moderate'!F34</f>
        <v>88587.0045801541</v>
      </c>
      <c r="D23" s="20" t="n">
        <f aca="false">'P&amp;L — Optimistic'!F34</f>
        <v>169615.999492749</v>
      </c>
    </row>
    <row r="24" customFormat="false" ht="15" hidden="false" customHeight="true" outlineLevel="0" collapsed="false">
      <c r="A24" s="6" t="s">
        <v>376</v>
      </c>
      <c r="B24" s="48" t="n">
        <f aca="false">'P&amp;L — Conservative'!F29</f>
        <v>0.40332761445456</v>
      </c>
      <c r="C24" s="48" t="n">
        <f aca="false">'P&amp;L — Moderate'!F29</f>
        <v>0.556535187069829</v>
      </c>
      <c r="D24" s="48" t="n">
        <f aca="false">'P&amp;L — Optimistic'!F29</f>
        <v>0.655767632207339</v>
      </c>
    </row>
    <row r="25" customFormat="false" ht="15" hidden="false" customHeight="true" outlineLevel="0" collapsed="false">
      <c r="A25" s="6" t="s">
        <v>415</v>
      </c>
      <c r="B25" s="47" t="n">
        <f aca="false">'P&amp;L — Conservative'!F42</f>
        <v>2.1451333371342</v>
      </c>
      <c r="C25" s="47" t="n">
        <f aca="false">'P&amp;L — Moderate'!F42</f>
        <v>6.37288021752112</v>
      </c>
      <c r="D25" s="47" t="n">
        <f aca="false">'P&amp;L — Optimistic'!F42</f>
        <v>14.9536187225048</v>
      </c>
    </row>
    <row r="27" customFormat="false" ht="15" hidden="false" customHeight="true" outlineLevel="0" collapsed="false">
      <c r="A27" s="5" t="s">
        <v>417</v>
      </c>
      <c r="B27" s="5"/>
      <c r="C27" s="5"/>
      <c r="D27" s="5"/>
      <c r="E27" s="5"/>
      <c r="F27" s="5"/>
    </row>
    <row r="28" customFormat="false" ht="15" hidden="false" customHeight="true" outlineLevel="0" collapsed="false">
      <c r="A28" s="6" t="s">
        <v>411</v>
      </c>
      <c r="B28" s="20" t="n">
        <f aca="false">'P&amp;L — Conservative'!K14</f>
        <v>141092.666881459</v>
      </c>
      <c r="C28" s="20" t="n">
        <f aca="false">'P&amp;L — Moderate'!K14</f>
        <v>233231.14335125</v>
      </c>
      <c r="D28" s="20" t="n">
        <f aca="false">'P&amp;L — Optimistic'!K14</f>
        <v>371150.667504055</v>
      </c>
    </row>
    <row r="29" customFormat="false" ht="15" hidden="false" customHeight="true" outlineLevel="0" collapsed="false">
      <c r="A29" s="6" t="s">
        <v>412</v>
      </c>
      <c r="B29" s="20" t="n">
        <f aca="false">'P&amp;L — Conservative'!K26</f>
        <v>86008.5988469164</v>
      </c>
      <c r="C29" s="20" t="n">
        <f aca="false">'P&amp;L — Moderate'!K26</f>
        <v>101312.779218005</v>
      </c>
      <c r="D29" s="20" t="n">
        <f aca="false">'P&amp;L — Optimistic'!K26</f>
        <v>118845.618165972</v>
      </c>
    </row>
    <row r="30" customFormat="false" ht="15" hidden="false" customHeight="true" outlineLevel="0" collapsed="false">
      <c r="A30" s="6" t="s">
        <v>413</v>
      </c>
      <c r="B30" s="20" t="n">
        <f aca="false">'P&amp;L — Conservative'!K28</f>
        <v>55084.0680345426</v>
      </c>
      <c r="C30" s="20" t="n">
        <f aca="false">'P&amp;L — Moderate'!K28</f>
        <v>131918.364133245</v>
      </c>
      <c r="D30" s="20" t="n">
        <f aca="false">'P&amp;L — Optimistic'!K28</f>
        <v>252305.049338083</v>
      </c>
    </row>
    <row r="31" customFormat="false" ht="15" hidden="false" customHeight="true" outlineLevel="0" collapsed="false">
      <c r="A31" s="6" t="s">
        <v>418</v>
      </c>
      <c r="B31" s="20" t="n">
        <f aca="false">'P&amp;L — Conservative'!K34</f>
        <v>32164.2355258093</v>
      </c>
      <c r="C31" s="20" t="n">
        <f aca="false">'P&amp;L — Moderate'!K34</f>
        <v>115430.558525506</v>
      </c>
      <c r="D31" s="20" t="n">
        <f aca="false">'P&amp;L — Optimistic'!K34</f>
        <v>240149.349596969</v>
      </c>
    </row>
    <row r="32" customFormat="false" ht="15" hidden="false" customHeight="true" outlineLevel="0" collapsed="false">
      <c r="A32" s="6" t="s">
        <v>384</v>
      </c>
      <c r="B32" s="20" t="n">
        <f aca="false">'P&amp;L — Conservative'!K40</f>
        <v>207897.954186186</v>
      </c>
      <c r="C32" s="20" t="n">
        <f aca="false">'P&amp;L — Moderate'!K40</f>
        <v>1014423.56868863</v>
      </c>
      <c r="D32" s="20" t="n">
        <f aca="false">'P&amp;L — Optimistic'!K40</f>
        <v>2084000.82618789</v>
      </c>
    </row>
    <row r="33" customFormat="false" ht="15" hidden="false" customHeight="true" outlineLevel="0" collapsed="false">
      <c r="A33" s="6" t="s">
        <v>415</v>
      </c>
      <c r="B33" s="47" t="n">
        <f aca="false">'P&amp;L — Conservative'!K42</f>
        <v>2.40333641240849</v>
      </c>
      <c r="C33" s="47" t="n">
        <f aca="false">'P&amp;L — Moderate'!K42</f>
        <v>8.00096551789321</v>
      </c>
      <c r="D33" s="47" t="n">
        <f aca="false">'P&amp;L — Optimistic'!K42</f>
        <v>20.7561106897636</v>
      </c>
    </row>
    <row r="35" customFormat="false" ht="15" hidden="false" customHeight="true" outlineLevel="0" collapsed="false">
      <c r="A35" s="5" t="s">
        <v>419</v>
      </c>
      <c r="B35" s="5"/>
      <c r="C35" s="5"/>
      <c r="D35" s="5"/>
      <c r="E35" s="5"/>
      <c r="F35" s="5"/>
    </row>
    <row r="36" customFormat="false" ht="15" hidden="false" customHeight="true" outlineLevel="0" collapsed="false">
      <c r="A36" s="6" t="s">
        <v>420</v>
      </c>
      <c r="B36" s="20" t="n">
        <f aca="false">'P&amp;L — Conservative'!L14</f>
        <v>1120138.91314494</v>
      </c>
      <c r="C36" s="20" t="n">
        <f aca="false">'P&amp;L — Moderate'!L14</f>
        <v>1773072.14488999</v>
      </c>
      <c r="D36" s="20" t="n">
        <f aca="false">'P&amp;L — Optimistic'!L14</f>
        <v>2680235.443624</v>
      </c>
    </row>
    <row r="37" customFormat="false" ht="15" hidden="false" customHeight="true" outlineLevel="0" collapsed="false">
      <c r="A37" s="6" t="s">
        <v>421</v>
      </c>
      <c r="B37" s="20" t="n">
        <f aca="false">'P&amp;L — Conservative'!L26</f>
        <v>703042.633871423</v>
      </c>
      <c r="C37" s="20" t="n">
        <f aca="false">'P&amp;L — Moderate'!L26</f>
        <v>824270.520123973</v>
      </c>
      <c r="D37" s="20" t="n">
        <f aca="false">'P&amp;L — Optimistic'!L26</f>
        <v>944677.620024974</v>
      </c>
    </row>
    <row r="38" customFormat="false" ht="15" hidden="false" customHeight="true" outlineLevel="0" collapsed="false">
      <c r="A38" s="6" t="s">
        <v>422</v>
      </c>
      <c r="B38" s="20" t="n">
        <f aca="false">'P&amp;L — Conservative'!L32</f>
        <v>229198.325087333</v>
      </c>
      <c r="C38" s="20" t="n">
        <f aca="false">'P&amp;L — Moderate'!L32</f>
        <v>164878.056077389</v>
      </c>
      <c r="D38" s="20" t="n">
        <f aca="false">'P&amp;L — Optimistic'!L32</f>
        <v>121556.997411135</v>
      </c>
    </row>
    <row r="39" customFormat="false" ht="15" hidden="false" customHeight="true" outlineLevel="0" collapsed="false">
      <c r="A39" s="12" t="s">
        <v>423</v>
      </c>
      <c r="B39" s="13" t="n">
        <f aca="false">'P&amp;L — Conservative'!L34</f>
        <v>187897.954186186</v>
      </c>
      <c r="C39" s="13" t="n">
        <f aca="false">'P&amp;L — Moderate'!L34</f>
        <v>783923.568688632</v>
      </c>
      <c r="D39" s="13" t="n">
        <f aca="false">'P&amp;L — Optimistic'!L34</f>
        <v>1614000.82618789</v>
      </c>
      <c r="E39" s="12"/>
      <c r="F39" s="12"/>
    </row>
    <row r="41" customFormat="false" ht="15" hidden="false" customHeight="true" outlineLevel="0" collapsed="false">
      <c r="A41" s="5" t="s">
        <v>424</v>
      </c>
      <c r="B41" s="5"/>
      <c r="C41" s="5"/>
      <c r="D41" s="5"/>
      <c r="E41" s="5"/>
      <c r="F41" s="5"/>
    </row>
    <row r="42" customFormat="false" ht="15" hidden="false" customHeight="true" outlineLevel="0" collapsed="false">
      <c r="A42" s="19" t="s">
        <v>425</v>
      </c>
      <c r="F42" s="8" t="s">
        <v>426</v>
      </c>
    </row>
    <row r="43" customFormat="false" ht="15" hidden="false" customHeight="true" outlineLevel="0" collapsed="false">
      <c r="A43" s="6" t="s">
        <v>427</v>
      </c>
      <c r="B43" s="20" t="n">
        <f aca="false">('P&amp;L — Conservative'!F26+'P&amp;L — Conservative'!F32)/Assumptions!B23/12</f>
        <v>724.658164375131</v>
      </c>
      <c r="C43" s="20" t="n">
        <f aca="false">('P&amp;L — Moderate'!F26+'P&amp;L — Moderate'!F32)/Assumptions!C23/12</f>
        <v>695.935643894416</v>
      </c>
      <c r="D43" s="20" t="n">
        <f aca="false">('P&amp;L — Optimistic'!F26+'P&amp;L — Optimistic'!F32)/Assumptions!D23/12</f>
        <v>747.036049786191</v>
      </c>
      <c r="F43" s="8" t="s">
        <v>428</v>
      </c>
    </row>
    <row r="44" customFormat="false" ht="15" hidden="false" customHeight="true" outlineLevel="0" collapsed="false">
      <c r="A44" s="6" t="s">
        <v>429</v>
      </c>
      <c r="B44" s="20" t="n">
        <f aca="false">'P&amp;L — Conservative'!F14/Assumptions!B6</f>
        <v>2438.022839696</v>
      </c>
      <c r="C44" s="20" t="n">
        <f aca="false">'P&amp;L — Moderate'!F14/Assumptions!C6</f>
        <v>3776.034746019</v>
      </c>
      <c r="D44" s="20" t="n">
        <f aca="false">'P&amp;L — Optimistic'!F14/Assumptions!D6</f>
        <v>5543.7838132392</v>
      </c>
    </row>
    <row r="45" customFormat="false" ht="15" hidden="false" customHeight="true" outlineLevel="0" collapsed="false">
      <c r="A45" s="6" t="s">
        <v>430</v>
      </c>
      <c r="B45" s="48" t="n">
        <f aca="false">IF('P&amp;L — Conservative'!F14=0,0,'P&amp;L — Conservative'!F6/'P&amp;L — Conservative'!F14)</f>
        <v>0.501075263071911</v>
      </c>
      <c r="C45" s="48" t="n">
        <f aca="false">IF('P&amp;L — Moderate'!F14=0,0,'P&amp;L — Moderate'!F6/'P&amp;L — Moderate'!F14)</f>
        <v>0.408313468844665</v>
      </c>
      <c r="D45" s="48" t="n">
        <f aca="false">IF('P&amp;L — Optimistic'!F14=0,0,'P&amp;L — Optimistic'!F6/'P&amp;L — Optimistic'!F14)</f>
        <v>0.315154756173356</v>
      </c>
    </row>
    <row r="46" customFormat="false" ht="15" hidden="false" customHeight="true" outlineLevel="0" collapsed="false">
      <c r="A46" s="6" t="s">
        <v>431</v>
      </c>
      <c r="B46" s="48" t="n">
        <f aca="false">IF('P&amp;L — Conservative'!F14=0,0,('P&amp;L — Conservative'!F7+'P&amp;L — Conservative'!F8+'P&amp;L — Conservative'!F9)/'P&amp;L — Conservative'!F14)</f>
        <v>0.392790531084364</v>
      </c>
      <c r="C46" s="48" t="n">
        <f aca="false">IF('P&amp;L — Moderate'!F14=0,0,('P&amp;L — Moderate'!F7+'P&amp;L — Moderate'!F8+'P&amp;L — Moderate'!F9)/'P&amp;L — Moderate'!F14)</f>
        <v>0.440698417032423</v>
      </c>
      <c r="D46" s="48" t="n">
        <f aca="false">IF('P&amp;L — Optimistic'!F14=0,0,('P&amp;L — Optimistic'!F7+'P&amp;L — Optimistic'!F8+'P&amp;L — Optimistic'!F9)/'P&amp;L — Optimistic'!F14)</f>
        <v>0.473592562850307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3483"/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  <col collapsed="false" customWidth="true" hidden="false" outlineLevel="0" max="5" min="5" style="1" width="40"/>
  </cols>
  <sheetData>
    <row r="1" customFormat="false" ht="19.5" hidden="false" customHeight="true" outlineLevel="0" collapsed="false">
      <c r="A1" s="2" t="s">
        <v>432</v>
      </c>
      <c r="B1" s="2"/>
      <c r="C1" s="2"/>
      <c r="D1" s="2"/>
      <c r="E1" s="2"/>
    </row>
    <row r="3" customFormat="false" ht="26.25" hidden="false" customHeight="true" outlineLevel="0" collapsed="false">
      <c r="A3" s="4" t="s">
        <v>433</v>
      </c>
      <c r="B3" s="4" t="s">
        <v>434</v>
      </c>
      <c r="C3" s="4" t="s">
        <v>435</v>
      </c>
      <c r="D3" s="4" t="s">
        <v>436</v>
      </c>
    </row>
    <row r="4" customFormat="false" ht="34.5" hidden="false" customHeight="true" outlineLevel="0" collapsed="false">
      <c r="A4" s="39" t="s">
        <v>437</v>
      </c>
      <c r="B4" s="39" t="s">
        <v>438</v>
      </c>
      <c r="C4" s="49" t="s">
        <v>439</v>
      </c>
      <c r="D4" s="39" t="s">
        <v>440</v>
      </c>
    </row>
    <row r="5" customFormat="false" ht="34.5" hidden="false" customHeight="true" outlineLevel="0" collapsed="false">
      <c r="A5" s="39" t="s">
        <v>441</v>
      </c>
      <c r="B5" s="39" t="s">
        <v>442</v>
      </c>
      <c r="C5" s="50" t="s">
        <v>443</v>
      </c>
      <c r="D5" s="39" t="s">
        <v>444</v>
      </c>
    </row>
    <row r="6" customFormat="false" ht="34.5" hidden="false" customHeight="true" outlineLevel="0" collapsed="false">
      <c r="A6" s="39" t="s">
        <v>445</v>
      </c>
      <c r="B6" s="39" t="s">
        <v>446</v>
      </c>
      <c r="C6" s="50" t="s">
        <v>443</v>
      </c>
      <c r="D6" s="39" t="s">
        <v>447</v>
      </c>
    </row>
    <row r="7" customFormat="false" ht="34.5" hidden="false" customHeight="true" outlineLevel="0" collapsed="false">
      <c r="A7" s="39" t="s">
        <v>448</v>
      </c>
      <c r="B7" s="39" t="s">
        <v>449</v>
      </c>
      <c r="C7" s="50" t="s">
        <v>443</v>
      </c>
      <c r="D7" s="39" t="s">
        <v>450</v>
      </c>
    </row>
    <row r="8" customFormat="false" ht="34.5" hidden="false" customHeight="true" outlineLevel="0" collapsed="false">
      <c r="A8" s="39" t="s">
        <v>451</v>
      </c>
      <c r="B8" s="39" t="s">
        <v>452</v>
      </c>
      <c r="C8" s="50" t="s">
        <v>443</v>
      </c>
      <c r="D8" s="39" t="s">
        <v>453</v>
      </c>
    </row>
    <row r="9" customFormat="false" ht="34.5" hidden="false" customHeight="true" outlineLevel="0" collapsed="false">
      <c r="A9" s="39" t="s">
        <v>454</v>
      </c>
      <c r="B9" s="39" t="s">
        <v>455</v>
      </c>
      <c r="C9" s="50" t="s">
        <v>456</v>
      </c>
      <c r="D9" s="39" t="s">
        <v>457</v>
      </c>
    </row>
    <row r="10" customFormat="false" ht="57" hidden="false" customHeight="true" outlineLevel="0" collapsed="false">
      <c r="A10" s="39" t="s">
        <v>458</v>
      </c>
      <c r="B10" s="39" t="s">
        <v>459</v>
      </c>
      <c r="C10" s="50" t="s">
        <v>443</v>
      </c>
      <c r="D10" s="39" t="s">
        <v>460</v>
      </c>
    </row>
    <row r="11" customFormat="false" ht="45.75" hidden="false" customHeight="true" outlineLevel="0" collapsed="false">
      <c r="A11" s="39" t="s">
        <v>461</v>
      </c>
      <c r="B11" s="39" t="s">
        <v>462</v>
      </c>
      <c r="C11" s="49" t="s">
        <v>439</v>
      </c>
      <c r="D11" s="39" t="s">
        <v>463</v>
      </c>
    </row>
    <row r="12" customFormat="false" ht="45.75" hidden="false" customHeight="true" outlineLevel="0" collapsed="false">
      <c r="A12" s="39" t="s">
        <v>464</v>
      </c>
      <c r="B12" s="39" t="s">
        <v>465</v>
      </c>
      <c r="C12" s="49" t="s">
        <v>439</v>
      </c>
      <c r="D12" s="39" t="s">
        <v>466</v>
      </c>
    </row>
    <row r="13" customFormat="false" ht="34.5" hidden="false" customHeight="true" outlineLevel="0" collapsed="false">
      <c r="A13" s="39" t="s">
        <v>467</v>
      </c>
      <c r="B13" s="39" t="s">
        <v>468</v>
      </c>
      <c r="C13" s="49" t="s">
        <v>439</v>
      </c>
      <c r="D13" s="39" t="s">
        <v>469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D6D7E"/>
    <pageSetUpPr fitToPage="false"/>
  </sheetPr>
  <dimension ref="A1:A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0"/>
  </cols>
  <sheetData>
    <row r="1" customFormat="false" ht="19.5" hidden="false" customHeight="true" outlineLevel="0" collapsed="false">
      <c r="A1" s="51" t="s">
        <v>470</v>
      </c>
    </row>
    <row r="2" customFormat="false" ht="15" hidden="false" customHeight="true" outlineLevel="0" collapsed="false">
      <c r="A2" s="52"/>
    </row>
    <row r="3" customFormat="false" ht="15" hidden="false" customHeight="true" outlineLevel="0" collapsed="false">
      <c r="A3" s="53" t="s">
        <v>471</v>
      </c>
    </row>
    <row r="4" customFormat="false" ht="15" hidden="false" customHeight="true" outlineLevel="0" collapsed="false">
      <c r="A4" s="6" t="s">
        <v>472</v>
      </c>
    </row>
    <row r="5" customFormat="false" ht="15" hidden="false" customHeight="true" outlineLevel="0" collapsed="false">
      <c r="A5" s="6" t="s">
        <v>473</v>
      </c>
    </row>
    <row r="6" customFormat="false" ht="15" hidden="false" customHeight="true" outlineLevel="0" collapsed="false">
      <c r="A6" s="6" t="s">
        <v>474</v>
      </c>
    </row>
    <row r="7" customFormat="false" ht="15" hidden="false" customHeight="true" outlineLevel="0" collapsed="false">
      <c r="A7" s="52"/>
    </row>
    <row r="8" customFormat="false" ht="15" hidden="false" customHeight="true" outlineLevel="0" collapsed="false">
      <c r="A8" s="53" t="s">
        <v>475</v>
      </c>
    </row>
    <row r="9" customFormat="false" ht="15" hidden="false" customHeight="true" outlineLevel="0" collapsed="false">
      <c r="A9" s="52" t="s">
        <v>476</v>
      </c>
    </row>
    <row r="10" customFormat="false" ht="15" hidden="false" customHeight="true" outlineLevel="0" collapsed="false">
      <c r="A10" s="52" t="s">
        <v>477</v>
      </c>
    </row>
    <row r="11" customFormat="false" ht="15" hidden="false" customHeight="true" outlineLevel="0" collapsed="false">
      <c r="A11" s="52" t="s">
        <v>478</v>
      </c>
    </row>
    <row r="12" customFormat="false" ht="15" hidden="false" customHeight="true" outlineLevel="0" collapsed="false">
      <c r="A12" s="52" t="s">
        <v>479</v>
      </c>
    </row>
    <row r="13" customFormat="false" ht="15" hidden="false" customHeight="true" outlineLevel="0" collapsed="false">
      <c r="A13" s="52" t="s">
        <v>480</v>
      </c>
    </row>
    <row r="14" customFormat="false" ht="15" hidden="false" customHeight="true" outlineLevel="0" collapsed="false">
      <c r="A14" s="52" t="s">
        <v>481</v>
      </c>
    </row>
    <row r="15" customFormat="false" ht="15" hidden="false" customHeight="true" outlineLevel="0" collapsed="false">
      <c r="A15" s="52" t="s">
        <v>482</v>
      </c>
    </row>
    <row r="16" customFormat="false" ht="15" hidden="false" customHeight="true" outlineLevel="0" collapsed="false">
      <c r="A16" s="52"/>
    </row>
    <row r="17" customFormat="false" ht="15" hidden="false" customHeight="true" outlineLevel="0" collapsed="false">
      <c r="A17" s="53" t="s">
        <v>483</v>
      </c>
    </row>
    <row r="18" customFormat="false" ht="15" hidden="false" customHeight="true" outlineLevel="0" collapsed="false">
      <c r="A18" s="52" t="s">
        <v>484</v>
      </c>
    </row>
    <row r="19" customFormat="false" ht="15" hidden="false" customHeight="true" outlineLevel="0" collapsed="false">
      <c r="A19" s="52" t="s">
        <v>485</v>
      </c>
    </row>
    <row r="20" customFormat="false" ht="15" hidden="false" customHeight="true" outlineLevel="0" collapsed="false">
      <c r="A20" s="52" t="s">
        <v>486</v>
      </c>
    </row>
    <row r="21" customFormat="false" ht="15" hidden="false" customHeight="true" outlineLevel="0" collapsed="false">
      <c r="A21" s="52" t="s">
        <v>487</v>
      </c>
    </row>
    <row r="22" customFormat="false" ht="15" hidden="false" customHeight="true" outlineLevel="0" collapsed="false">
      <c r="A22" s="52" t="s">
        <v>488</v>
      </c>
    </row>
    <row r="23" customFormat="false" ht="15" hidden="false" customHeight="true" outlineLevel="0" collapsed="false">
      <c r="A23" s="52" t="s">
        <v>489</v>
      </c>
    </row>
    <row r="24" customFormat="false" ht="15" hidden="false" customHeight="true" outlineLevel="0" collapsed="false">
      <c r="A24" s="52"/>
    </row>
    <row r="25" customFormat="false" ht="15" hidden="false" customHeight="true" outlineLevel="0" collapsed="false">
      <c r="A25" s="53" t="s">
        <v>490</v>
      </c>
    </row>
    <row r="26" customFormat="false" ht="15" hidden="false" customHeight="true" outlineLevel="0" collapsed="false">
      <c r="A26" s="6" t="s">
        <v>491</v>
      </c>
    </row>
    <row r="27" customFormat="false" ht="15" hidden="false" customHeight="true" outlineLevel="0" collapsed="false">
      <c r="A27" s="6" t="s">
        <v>492</v>
      </c>
    </row>
    <row r="28" customFormat="false" ht="15" hidden="false" customHeight="true" outlineLevel="0" collapsed="false">
      <c r="A28" s="6" t="s">
        <v>493</v>
      </c>
    </row>
    <row r="29" customFormat="false" ht="15" hidden="false" customHeight="true" outlineLevel="0" collapsed="false">
      <c r="A29" s="52"/>
    </row>
    <row r="30" customFormat="false" ht="15" hidden="false" customHeight="true" outlineLevel="0" collapsed="false">
      <c r="A30" s="53" t="s">
        <v>494</v>
      </c>
    </row>
    <row r="31" customFormat="false" ht="15" hidden="false" customHeight="true" outlineLevel="0" collapsed="false">
      <c r="A31" s="6" t="s">
        <v>495</v>
      </c>
    </row>
    <row r="32" customFormat="false" ht="15" hidden="false" customHeight="true" outlineLevel="0" collapsed="false">
      <c r="A32" s="6" t="s">
        <v>496</v>
      </c>
    </row>
    <row r="33" customFormat="false" ht="15" hidden="false" customHeight="true" outlineLevel="0" collapsed="false">
      <c r="A33" s="6" t="s">
        <v>497</v>
      </c>
    </row>
    <row r="34" customFormat="false" ht="15" hidden="false" customHeight="true" outlineLevel="0" collapsed="false">
      <c r="A34" s="6" t="s">
        <v>498</v>
      </c>
    </row>
    <row r="35" customFormat="false" ht="15" hidden="false" customHeight="true" outlineLevel="0" collapsed="false">
      <c r="A35" s="52"/>
    </row>
    <row r="36" customFormat="false" ht="15" hidden="false" customHeight="true" outlineLevel="0" collapsed="false">
      <c r="A36" s="53" t="s">
        <v>499</v>
      </c>
    </row>
    <row r="37" customFormat="false" ht="15" hidden="false" customHeight="true" outlineLevel="0" collapsed="false">
      <c r="A37" s="52" t="s">
        <v>500</v>
      </c>
    </row>
    <row r="38" customFormat="false" ht="15" hidden="false" customHeight="true" outlineLevel="0" collapsed="false">
      <c r="A38" s="52" t="s">
        <v>501</v>
      </c>
    </row>
    <row r="39" customFormat="false" ht="15" hidden="false" customHeight="true" outlineLevel="0" collapsed="false">
      <c r="A39" s="52" t="s">
        <v>502</v>
      </c>
    </row>
    <row r="40" customFormat="false" ht="15" hidden="false" customHeight="true" outlineLevel="0" collapsed="false">
      <c r="A40" s="52" t="s">
        <v>503</v>
      </c>
    </row>
    <row r="41" customFormat="false" ht="15" hidden="false" customHeight="true" outlineLevel="0" collapsed="false">
      <c r="A41" s="52" t="s">
        <v>504</v>
      </c>
    </row>
    <row r="42" customFormat="false" ht="15" hidden="false" customHeight="true" outlineLevel="0" collapsed="false">
      <c r="A42" s="52" t="s">
        <v>505</v>
      </c>
    </row>
    <row r="44" customFormat="false" ht="15" hidden="false" customHeight="true" outlineLevel="0" collapsed="false">
      <c r="A44" s="53" t="s">
        <v>506</v>
      </c>
    </row>
    <row r="45" customFormat="false" ht="15" hidden="false" customHeight="true" outlineLevel="0" collapsed="false">
      <c r="A45" s="52"/>
    </row>
    <row r="46" customFormat="false" ht="15" hidden="false" customHeight="true" outlineLevel="0" collapsed="false">
      <c r="A46" s="6" t="s">
        <v>507</v>
      </c>
    </row>
    <row r="47" customFormat="false" ht="15" hidden="false" customHeight="true" outlineLevel="0" collapsed="false">
      <c r="A47" s="6" t="s">
        <v>508</v>
      </c>
    </row>
    <row r="48" customFormat="false" ht="15" hidden="false" customHeight="true" outlineLevel="0" collapsed="false">
      <c r="A48" s="52"/>
    </row>
    <row r="49" customFormat="false" ht="15" hidden="false" customHeight="true" outlineLevel="0" collapsed="false">
      <c r="A49" s="52" t="s">
        <v>509</v>
      </c>
    </row>
    <row r="50" customFormat="false" ht="15" hidden="false" customHeight="true" outlineLevel="0" collapsed="false">
      <c r="A50" s="52" t="s">
        <v>510</v>
      </c>
    </row>
    <row r="51" customFormat="false" ht="15" hidden="false" customHeight="true" outlineLevel="0" collapsed="false">
      <c r="A51" s="52" t="s">
        <v>511</v>
      </c>
    </row>
    <row r="52" customFormat="false" ht="15" hidden="false" customHeight="true" outlineLevel="0" collapsed="false">
      <c r="A52" s="52" t="s">
        <v>512</v>
      </c>
    </row>
    <row r="53" customFormat="false" ht="15" hidden="false" customHeight="true" outlineLevel="0" collapsed="false">
      <c r="A53" s="52"/>
    </row>
    <row r="54" customFormat="false" ht="15" hidden="false" customHeight="true" outlineLevel="0" collapsed="false">
      <c r="A54" s="52" t="s">
        <v>513</v>
      </c>
    </row>
    <row r="55" customFormat="false" ht="15" hidden="false" customHeight="true" outlineLevel="0" collapsed="false">
      <c r="A55" s="52" t="s">
        <v>514</v>
      </c>
    </row>
    <row r="56" customFormat="false" ht="15" hidden="false" customHeight="true" outlineLevel="0" collapsed="false">
      <c r="A56" s="52" t="s">
        <v>515</v>
      </c>
    </row>
    <row r="57" customFormat="false" ht="15" hidden="false" customHeight="true" outlineLevel="0" collapsed="false">
      <c r="A57" s="52"/>
    </row>
    <row r="58" customFormat="false" ht="15" hidden="false" customHeight="true" outlineLevel="0" collapsed="false">
      <c r="A58" s="52" t="s">
        <v>516</v>
      </c>
    </row>
    <row r="59" customFormat="false" ht="15" hidden="false" customHeight="true" outlineLevel="0" collapsed="false">
      <c r="A59" s="52" t="s">
        <v>517</v>
      </c>
    </row>
    <row r="60" customFormat="false" ht="15" hidden="false" customHeight="true" outlineLevel="0" collapsed="false">
      <c r="A60" s="52" t="s">
        <v>518</v>
      </c>
    </row>
    <row r="61" customFormat="false" ht="15" hidden="false" customHeight="true" outlineLevel="0" collapsed="false">
      <c r="A61" s="52"/>
    </row>
    <row r="62" customFormat="false" ht="15" hidden="false" customHeight="true" outlineLevel="0" collapsed="false">
      <c r="A62" s="52" t="s">
        <v>519</v>
      </c>
    </row>
    <row r="63" customFormat="false" ht="15" hidden="false" customHeight="true" outlineLevel="0" collapsed="false">
      <c r="A63" s="52" t="s">
        <v>520</v>
      </c>
    </row>
    <row r="64" customFormat="false" ht="15" hidden="false" customHeight="true" outlineLevel="0" collapsed="false">
      <c r="A64" s="52" t="s">
        <v>521</v>
      </c>
    </row>
    <row r="65" customFormat="false" ht="15" hidden="false" customHeight="true" outlineLevel="0" collapsed="false">
      <c r="A65" s="52"/>
    </row>
    <row r="66" customFormat="false" ht="15" hidden="false" customHeight="true" outlineLevel="0" collapsed="false">
      <c r="A66" s="52" t="s">
        <v>522</v>
      </c>
    </row>
    <row r="67" customFormat="false" ht="15" hidden="false" customHeight="true" outlineLevel="0" collapsed="false">
      <c r="A67" s="52" t="s">
        <v>523</v>
      </c>
    </row>
    <row r="68" customFormat="false" ht="15" hidden="false" customHeight="true" outlineLevel="0" collapsed="false">
      <c r="A68" s="52" t="s">
        <v>524</v>
      </c>
    </row>
    <row r="69" customFormat="false" ht="15" hidden="false" customHeight="true" outlineLevel="0" collapsed="false">
      <c r="A69" s="52"/>
    </row>
    <row r="70" customFormat="false" ht="15" hidden="false" customHeight="true" outlineLevel="0" collapsed="false">
      <c r="A70" s="52" t="s">
        <v>525</v>
      </c>
    </row>
    <row r="71" customFormat="false" ht="15" hidden="false" customHeight="true" outlineLevel="0" collapsed="false">
      <c r="A71" s="52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2026-03-17T00:40:21Z</dcterms:created>
  <dc:creator>openpyxl</dc:creator>
  <dc:description/>
  <dc:language>en-US</dc:language>
  <cp:lastModifiedBy/>
  <dcterms:modified xsi:type="dcterms:W3CDTF">2026-03-18T04:09:50Z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